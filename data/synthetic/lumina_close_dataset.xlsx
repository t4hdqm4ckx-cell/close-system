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ialBalance" sheetId="2" state="visible" r:id="rId4"/>
    <sheet name="AR_Aging" sheetId="3" state="visible" r:id="rId5"/>
    <sheet name="AP_Aging" sheetId="4" state="visible" r:id="rId6"/>
    <sheet name="PrepaidSchedule" sheetId="5" state="visible" r:id="rId7"/>
    <sheet name="AccrualSchedule" sheetId="6" state="visible" r:id="rId8"/>
    <sheet name="BankRec" sheetId="7" state="visible" r:id="rId9"/>
    <sheet name="IntercoMatrix" sheetId="8" state="visible" r:id="rId10"/>
    <sheet name="CloseCalendar" sheetId="9" state="visible" r:id="rId11"/>
    <sheet name="JE_Lo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<sst xmlns="http://schemas.openxmlformats.org/spreadsheetml/2006/main" count="856" uniqueCount="504">
  <si>
    <t xml:space="preserve">Lumina Streaming Co. — Month-End Close Synthetic Dataset</t>
  </si>
  <si>
    <t xml:space="preserve">Purpose</t>
  </si>
  <si>
    <t xml:space="preserve">Synthetic dataset for developing and demonstrating a multi-agent month-end close system. All values are fabricated.</t>
  </si>
  <si>
    <t xml:space="preserve">Company</t>
  </si>
  <si>
    <t xml:space="preserve">Lumina Streaming Co. — synthetic streaming/media company, ~$1.8B annual revenue, FYE December.</t>
  </si>
  <si>
    <t xml:space="preserve">Close period</t>
  </si>
  <si>
    <t xml:space="preserve">November 2026 (closing in early December 2026)</t>
  </si>
  <si>
    <t xml:space="preserve">Currency</t>
  </si>
  <si>
    <t xml:space="preserve">USD, all values in actual dollars (not thousands)</t>
  </si>
  <si>
    <t xml:space="preserve">Entities</t>
  </si>
  <si>
    <t xml:space="preserve">LuminaUS, LuminaEMEA, LuminaAPAC</t>
  </si>
  <si>
    <t xml:space="preserve">Sheets</t>
  </si>
  <si>
    <t xml:space="preserve">  TrialBalance</t>
  </si>
  <si>
    <t xml:space="preserve">GL account-level Nov-26 actual, Oct-26 prior, Nov-26 budget, with entity dimension</t>
  </si>
  <si>
    <t xml:space="preserve">  AR_Aging</t>
  </si>
  <si>
    <t xml:space="preserve">Accounts receivable detail by customer, aged in standard buckets</t>
  </si>
  <si>
    <t xml:space="preserve">  AP_Aging</t>
  </si>
  <si>
    <t xml:space="preserve">Accounts payable detail by vendor, aged in standard buckets</t>
  </si>
  <si>
    <t xml:space="preserve">  PrepaidSchedule</t>
  </si>
  <si>
    <t xml:space="preserve">Prepaid asset detail with amortization schedule</t>
  </si>
  <si>
    <t xml:space="preserve">  AccrualSchedule</t>
  </si>
  <si>
    <t xml:space="preserve">Accrual balances with reversal dates</t>
  </si>
  <si>
    <t xml:space="preserve">  BankRec</t>
  </si>
  <si>
    <t xml:space="preserve">Bank balance vs book reconciliation for primary operating account</t>
  </si>
  <si>
    <t xml:space="preserve">  IntercoMatrix</t>
  </si>
  <si>
    <t xml:space="preserve">Intercompany receivable/payable matrix across the three entities</t>
  </si>
  <si>
    <t xml:space="preserve">  CloseCalendar</t>
  </si>
  <si>
    <t xml:space="preserve">Close task list with owners, due dates, dependencies, status</t>
  </si>
  <si>
    <t xml:space="preserve">  JE_Log</t>
  </si>
  <si>
    <t xml:space="preserve">November 2026 journal entry log</t>
  </si>
  <si>
    <t xml:space="preserve">Embedded findings</t>
  </si>
  <si>
    <t xml:space="preserve">Intentional issues designed for agents to surface during demo:</t>
  </si>
  <si>
    <t xml:space="preserve">  1</t>
  </si>
  <si>
    <t xml:space="preserve">Bank rec: $45,231 outstanding check (67 days old) — should be voided/investigated</t>
  </si>
  <si>
    <t xml:space="preserve">  2</t>
  </si>
  <si>
    <t xml:space="preserve">Intercompany: $12,400 mismatch between LuminaUS receivable from EMEA vs EMEA payable to US</t>
  </si>
  <si>
    <t xml:space="preserve">  3</t>
  </si>
  <si>
    <t xml:space="preserve">Accruals: $850,000 Oct-26 marketing accrual was never reversed in Nov-26</t>
  </si>
  <si>
    <t xml:space="preserve">  4</t>
  </si>
  <si>
    <t xml:space="preserve">AR aging: Vertex Media has $2,300,000 in the 90+ day bucket</t>
  </si>
  <si>
    <t xml:space="preserve">  5</t>
  </si>
  <si>
    <t xml:space="preserve">JE log: JE-2026-11-0042 posted on a Saturday, round $1.5M reclass, no support doc reference</t>
  </si>
  <si>
    <t xml:space="preserve">  6</t>
  </si>
  <si>
    <t xml:space="preserve">P&amp;L flux: Performance Marketing is $3.0M unfavorable to budget (-20%) — needs commentary</t>
  </si>
  <si>
    <t xml:space="preserve">  7</t>
  </si>
  <si>
    <t xml:space="preserve">P&amp;L flux: CDN/streaming delivery is $0.8M unfavorable (-10%)</t>
  </si>
  <si>
    <t xml:space="preserve">Materiality (Lumina defaults)</t>
  </si>
  <si>
    <t xml:space="preserve">  Performance materiality</t>
  </si>
  <si>
    <t xml:space="preserve">$9,000,000 (≈50bps of annual revenue)</t>
  </si>
  <si>
    <t xml:space="preserve">  P&amp;L flux trigger</t>
  </si>
  <si>
    <t xml:space="preserve">&gt; $250,000 AND &gt; 5% MoM (both must be true)</t>
  </si>
  <si>
    <t xml:space="preserve">  BvA flux trigger</t>
  </si>
  <si>
    <t xml:space="preserve">&gt; $500,000 AND &gt; 5% vs budget</t>
  </si>
  <si>
    <t xml:space="preserve">  BS rec exception</t>
  </si>
  <si>
    <t xml:space="preserve">Any unreconciled item &gt; $100,000 OR &gt; 30 days old</t>
  </si>
  <si>
    <t xml:space="preserve">Account</t>
  </si>
  <si>
    <t xml:space="preserve">Account Name</t>
  </si>
  <si>
    <t xml:space="preserve">Statement</t>
  </si>
  <si>
    <t xml:space="preserve">Entity</t>
  </si>
  <si>
    <t xml:space="preserve">Nov-26 Actual</t>
  </si>
  <si>
    <t xml:space="preserve">Oct-26 Prior</t>
  </si>
  <si>
    <t xml:space="preserve">Nov-26 Budget</t>
  </si>
  <si>
    <t xml:space="preserve">MoM Variance</t>
  </si>
  <si>
    <t xml:space="preserve">BvA Variance</t>
  </si>
  <si>
    <t xml:space="preserve">BvA %</t>
  </si>
  <si>
    <t xml:space="preserve">100100</t>
  </si>
  <si>
    <t xml:space="preserve">Cash - Operating</t>
  </si>
  <si>
    <t xml:space="preserve">BS</t>
  </si>
  <si>
    <t xml:space="preserve">LuminaUS</t>
  </si>
  <si>
    <t xml:space="preserve">LuminaEMEA</t>
  </si>
  <si>
    <t xml:space="preserve">LuminaAPAC</t>
  </si>
  <si>
    <t xml:space="preserve">100200</t>
  </si>
  <si>
    <t xml:space="preserve">Cash - Money Market</t>
  </si>
  <si>
    <t xml:space="preserve">110100</t>
  </si>
  <si>
    <t xml:space="preserve">AR - Subscriptions</t>
  </si>
  <si>
    <t xml:space="preserve">110200</t>
  </si>
  <si>
    <t xml:space="preserve">AR - Advertising</t>
  </si>
  <si>
    <t xml:space="preserve">110300</t>
  </si>
  <si>
    <t xml:space="preserve">AR - Other</t>
  </si>
  <si>
    <t xml:space="preserve">120100</t>
  </si>
  <si>
    <t xml:space="preserve">Prepaid Content Licenses</t>
  </si>
  <si>
    <t xml:space="preserve">120200</t>
  </si>
  <si>
    <t xml:space="preserve">Prepaid Software</t>
  </si>
  <si>
    <t xml:space="preserve">120300</t>
  </si>
  <si>
    <t xml:space="preserve">Prepaid Insurance</t>
  </si>
  <si>
    <t xml:space="preserve">120400</t>
  </si>
  <si>
    <t xml:space="preserve">Other Prepaids</t>
  </si>
  <si>
    <t xml:space="preserve">130100</t>
  </si>
  <si>
    <t xml:space="preserve">IC Receivable - LuminaEMEA</t>
  </si>
  <si>
    <t xml:space="preserve">130200</t>
  </si>
  <si>
    <t xml:space="preserve">IC Receivable - LuminaAPAC</t>
  </si>
  <si>
    <t xml:space="preserve">140100</t>
  </si>
  <si>
    <t xml:space="preserve">Capitalized Content - Net</t>
  </si>
  <si>
    <t xml:space="preserve">150100</t>
  </si>
  <si>
    <t xml:space="preserve">PP&amp;E - Net</t>
  </si>
  <si>
    <t xml:space="preserve">160100</t>
  </si>
  <si>
    <t xml:space="preserve">Goodwill</t>
  </si>
  <si>
    <t xml:space="preserve">170100</t>
  </si>
  <si>
    <t xml:space="preserve">Other Assets</t>
  </si>
  <si>
    <t xml:space="preserve">200100</t>
  </si>
  <si>
    <t xml:space="preserve">AP - Trade</t>
  </si>
  <si>
    <t xml:space="preserve">200200</t>
  </si>
  <si>
    <t xml:space="preserve">AP - Content Vendors</t>
  </si>
  <si>
    <t xml:space="preserve">210100</t>
  </si>
  <si>
    <t xml:space="preserve">Accrued Bonus</t>
  </si>
  <si>
    <t xml:space="preserve">210200</t>
  </si>
  <si>
    <t xml:space="preserve">Accrued Vacation</t>
  </si>
  <si>
    <t xml:space="preserve">210300</t>
  </si>
  <si>
    <t xml:space="preserve">Accrued Content Costs</t>
  </si>
  <si>
    <t xml:space="preserve">210400</t>
  </si>
  <si>
    <t xml:space="preserve">Accrued Marketing</t>
  </si>
  <si>
    <t xml:space="preserve">210500</t>
  </si>
  <si>
    <t xml:space="preserve">Other Accruals</t>
  </si>
  <si>
    <t xml:space="preserve">220100</t>
  </si>
  <si>
    <t xml:space="preserve">Deferred Revenue</t>
  </si>
  <si>
    <t xml:space="preserve">230100</t>
  </si>
  <si>
    <t xml:space="preserve">IC Payable - LuminaUS</t>
  </si>
  <si>
    <t xml:space="preserve">230200</t>
  </si>
  <si>
    <t xml:space="preserve">240100</t>
  </si>
  <si>
    <t xml:space="preserve">Long-term Debt</t>
  </si>
  <si>
    <t xml:space="preserve">250100</t>
  </si>
  <si>
    <t xml:space="preserve">Other Liabilities</t>
  </si>
  <si>
    <t xml:space="preserve">300100</t>
  </si>
  <si>
    <t xml:space="preserve">Common Stock</t>
  </si>
  <si>
    <t xml:space="preserve">300200</t>
  </si>
  <si>
    <t xml:space="preserve">Additional Paid-in Capital</t>
  </si>
  <si>
    <t xml:space="preserve">300300</t>
  </si>
  <si>
    <t xml:space="preserve">Retained Earnings</t>
  </si>
  <si>
    <t xml:space="preserve">400100</t>
  </si>
  <si>
    <t xml:space="preserve">Subscription Revenue</t>
  </si>
  <si>
    <t xml:space="preserve">IS</t>
  </si>
  <si>
    <t xml:space="preserve">400200</t>
  </si>
  <si>
    <t xml:space="preserve">Advertising Revenue</t>
  </si>
  <si>
    <t xml:space="preserve">400300</t>
  </si>
  <si>
    <t xml:space="preserve">Other Revenue</t>
  </si>
  <si>
    <t xml:space="preserve">500100</t>
  </si>
  <si>
    <t xml:space="preserve">Content Amortization</t>
  </si>
  <si>
    <t xml:space="preserve">500200</t>
  </si>
  <si>
    <t xml:space="preserve">Streaming Delivery (CDN)</t>
  </si>
  <si>
    <t xml:space="preserve">500300</t>
  </si>
  <si>
    <t xml:space="preserve">Royalties</t>
  </si>
  <si>
    <t xml:space="preserve">500400</t>
  </si>
  <si>
    <t xml:space="preserve">Other COGS</t>
  </si>
  <si>
    <t xml:space="preserve">600100</t>
  </si>
  <si>
    <t xml:space="preserve">Marketing - Performance</t>
  </si>
  <si>
    <t xml:space="preserve">600200</t>
  </si>
  <si>
    <t xml:space="preserve">Marketing - Brand</t>
  </si>
  <si>
    <t xml:space="preserve">600300</t>
  </si>
  <si>
    <t xml:space="preserve">Sales Commissions</t>
  </si>
  <si>
    <t xml:space="preserve">600400</t>
  </si>
  <si>
    <t xml:space="preserve">Salaries - Engineering</t>
  </si>
  <si>
    <t xml:space="preserve">600500</t>
  </si>
  <si>
    <t xml:space="preserve">Salaries - G&amp;A</t>
  </si>
  <si>
    <t xml:space="preserve">600600</t>
  </si>
  <si>
    <t xml:space="preserve">Tech Infrastructure</t>
  </si>
  <si>
    <t xml:space="preserve">600700</t>
  </si>
  <si>
    <t xml:space="preserve">Professional Fees</t>
  </si>
  <si>
    <t xml:space="preserve">600800</t>
  </si>
  <si>
    <t xml:space="preserve">Travel &amp; Entertainment</t>
  </si>
  <si>
    <t xml:space="preserve">600900</t>
  </si>
  <si>
    <t xml:space="preserve">Office &amp; Facilities</t>
  </si>
  <si>
    <t xml:space="preserve">601000</t>
  </si>
  <si>
    <t xml:space="preserve">Other OpEx</t>
  </si>
  <si>
    <t xml:space="preserve">700100</t>
  </si>
  <si>
    <t xml:space="preserve">Interest Income</t>
  </si>
  <si>
    <t xml:space="preserve">700200</t>
  </si>
  <si>
    <t xml:space="preserve">Interest Expense</t>
  </si>
  <si>
    <t xml:space="preserve">700300</t>
  </si>
  <si>
    <t xml:space="preserve">FX Gain/Loss</t>
  </si>
  <si>
    <t xml:space="preserve">800100</t>
  </si>
  <si>
    <t xml:space="preserve">Income Tax Expense</t>
  </si>
  <si>
    <t xml:space="preserve">Customer ID</t>
  </si>
  <si>
    <t xml:space="preserve">Customer Name</t>
  </si>
  <si>
    <t xml:space="preserve">AR Type</t>
  </si>
  <si>
    <t xml:space="preserve">Invoice Date</t>
  </si>
  <si>
    <t xml:space="preserve">Due Date</t>
  </si>
  <si>
    <t xml:space="preserve">Original Amount</t>
  </si>
  <si>
    <t xml:space="preserve">Current</t>
  </si>
  <si>
    <t xml:space="preserve">1-30 Days</t>
  </si>
  <si>
    <t xml:space="preserve">31-60 Days</t>
  </si>
  <si>
    <t xml:space="preserve">61-90 Days</t>
  </si>
  <si>
    <t xml:space="preserve">90+ Days</t>
  </si>
  <si>
    <t xml:space="preserve">Total</t>
  </si>
  <si>
    <t xml:space="preserve">CUST-1001</t>
  </si>
  <si>
    <t xml:space="preserve">Vertex Media</t>
  </si>
  <si>
    <t xml:space="preserve">Advertising</t>
  </si>
  <si>
    <t xml:space="preserve">CUST-1002</t>
  </si>
  <si>
    <t xml:space="preserve">Hudson Brands Group</t>
  </si>
  <si>
    <t xml:space="preserve">CUST-1003</t>
  </si>
  <si>
    <t xml:space="preserve">Pacific Auto Co.</t>
  </si>
  <si>
    <t xml:space="preserve">CUST-1004</t>
  </si>
  <si>
    <t xml:space="preserve">Greentide Telecom</t>
  </si>
  <si>
    <t xml:space="preserve">CUST-1005</t>
  </si>
  <si>
    <t xml:space="preserve">Norrland Foods</t>
  </si>
  <si>
    <t xml:space="preserve">CUST-1006</t>
  </si>
  <si>
    <t xml:space="preserve">Atlas Insurance</t>
  </si>
  <si>
    <t xml:space="preserve">CUST-1007</t>
  </si>
  <si>
    <t xml:space="preserve">Sterling Retail</t>
  </si>
  <si>
    <t xml:space="preserve">CUST-1008</t>
  </si>
  <si>
    <t xml:space="preserve">Bayline Financial</t>
  </si>
  <si>
    <t xml:space="preserve">CUST-1009</t>
  </si>
  <si>
    <t xml:space="preserve">Westcoast Mobility</t>
  </si>
  <si>
    <t xml:space="preserve">CUST-1010</t>
  </si>
  <si>
    <t xml:space="preserve">Aurora Beverage</t>
  </si>
  <si>
    <t xml:space="preserve">CUST-2001</t>
  </si>
  <si>
    <t xml:space="preserve">B2B Subscriber Block - US</t>
  </si>
  <si>
    <t xml:space="preserve">Subscriptions</t>
  </si>
  <si>
    <t xml:space="preserve">CUST-2002</t>
  </si>
  <si>
    <t xml:space="preserve">B2B Subscriber Block - EMEA</t>
  </si>
  <si>
    <t xml:space="preserve">CUST-2003</t>
  </si>
  <si>
    <t xml:space="preserve">B2B Subscriber Block - APAC</t>
  </si>
  <si>
    <t xml:space="preserve">CUST-3001</t>
  </si>
  <si>
    <t xml:space="preserve">Misc Receivables Block</t>
  </si>
  <si>
    <t xml:space="preserve">Other</t>
  </si>
  <si>
    <t xml:space="preserve">TOTAL</t>
  </si>
  <si>
    <t xml:space="preserve">Vendor ID</t>
  </si>
  <si>
    <t xml:space="preserve">Vendor Name</t>
  </si>
  <si>
    <t xml:space="preserve">Category</t>
  </si>
  <si>
    <t xml:space="preserve">VEND-5001</t>
  </si>
  <si>
    <t xml:space="preserve">Pinnacle Studios LLC</t>
  </si>
  <si>
    <t xml:space="preserve">Content</t>
  </si>
  <si>
    <t xml:space="preserve">VEND-5002</t>
  </si>
  <si>
    <t xml:space="preserve">Northgate Pictures</t>
  </si>
  <si>
    <t xml:space="preserve">VEND-5003</t>
  </si>
  <si>
    <t xml:space="preserve">Skylark Productions</t>
  </si>
  <si>
    <t xml:space="preserve">VEND-5004</t>
  </si>
  <si>
    <t xml:space="preserve">Helix Films</t>
  </si>
  <si>
    <t xml:space="preserve">VEND-5005</t>
  </si>
  <si>
    <t xml:space="preserve">Cascade Media Partners</t>
  </si>
  <si>
    <t xml:space="preserve">VEND-6001</t>
  </si>
  <si>
    <t xml:space="preserve">AWS</t>
  </si>
  <si>
    <t xml:space="preserve">Tech Infra</t>
  </si>
  <si>
    <t xml:space="preserve">VEND-6002</t>
  </si>
  <si>
    <t xml:space="preserve">Akamai</t>
  </si>
  <si>
    <t xml:space="preserve">VEND-7001</t>
  </si>
  <si>
    <t xml:space="preserve">Meta Ads</t>
  </si>
  <si>
    <t xml:space="preserve">Marketing</t>
  </si>
  <si>
    <t xml:space="preserve">VEND-7002</t>
  </si>
  <si>
    <t xml:space="preserve">Google Ads</t>
  </si>
  <si>
    <t xml:space="preserve">VEND-7003</t>
  </si>
  <si>
    <t xml:space="preserve">TikTok Ads</t>
  </si>
  <si>
    <t xml:space="preserve">VEND-8001</t>
  </si>
  <si>
    <t xml:space="preserve">Deloitte</t>
  </si>
  <si>
    <t xml:space="preserve">Professional</t>
  </si>
  <si>
    <t xml:space="preserve">VEND-8002</t>
  </si>
  <si>
    <t xml:space="preserve">Latham &amp; Watkins</t>
  </si>
  <si>
    <t xml:space="preserve">VEND-9001</t>
  </si>
  <si>
    <t xml:space="preserve">Trade AP - LuminaEMEA Block</t>
  </si>
  <si>
    <t xml:space="preserve">Trade</t>
  </si>
  <si>
    <t xml:space="preserve">VEND-9002</t>
  </si>
  <si>
    <t xml:space="preserve">Trade AP - LuminaAPAC Block</t>
  </si>
  <si>
    <t xml:space="preserve">Asset ID</t>
  </si>
  <si>
    <t xml:space="preserve">Description</t>
  </si>
  <si>
    <t xml:space="preserve">Vendor</t>
  </si>
  <si>
    <t xml:space="preserve">Start Date</t>
  </si>
  <si>
    <t xml:space="preserve">End Date</t>
  </si>
  <si>
    <t xml:space="preserve">Total Cost</t>
  </si>
  <si>
    <t xml:space="preserve">Months</t>
  </si>
  <si>
    <t xml:space="preserve">Monthly Amort</t>
  </si>
  <si>
    <t xml:space="preserve">Oct-26 Balance</t>
  </si>
  <si>
    <t xml:space="preserve">Nov-26 Amort</t>
  </si>
  <si>
    <t xml:space="preserve">Nov-26 Balance</t>
  </si>
  <si>
    <t xml:space="preserve">PP-2026-001</t>
  </si>
  <si>
    <t xml:space="preserve">Content license — Pinnacle Tier 1 slate</t>
  </si>
  <si>
    <t xml:space="preserve">Content License</t>
  </si>
  <si>
    <t xml:space="preserve">Pinnacle Studios</t>
  </si>
  <si>
    <t xml:space="preserve">PP-2026-002</t>
  </si>
  <si>
    <t xml:space="preserve">Content license — Northgate exclusive</t>
  </si>
  <si>
    <t xml:space="preserve">PP-2026-003</t>
  </si>
  <si>
    <t xml:space="preserve">Content license — Skylark catalog refresh</t>
  </si>
  <si>
    <t xml:space="preserve">PP-2025-018</t>
  </si>
  <si>
    <t xml:space="preserve">Content license — Helix bundle (prior year carry)</t>
  </si>
  <si>
    <t xml:space="preserve">PP-2026-004</t>
  </si>
  <si>
    <t xml:space="preserve">Salesforce annual subscription</t>
  </si>
  <si>
    <t xml:space="preserve">Software</t>
  </si>
  <si>
    <t xml:space="preserve">Salesforce</t>
  </si>
  <si>
    <t xml:space="preserve">PP-2026-005</t>
  </si>
  <si>
    <t xml:space="preserve">Workday annual subscription</t>
  </si>
  <si>
    <t xml:space="preserve">Workday</t>
  </si>
  <si>
    <t xml:space="preserve">PP-2026-006</t>
  </si>
  <si>
    <t xml:space="preserve">D&amp;O insurance</t>
  </si>
  <si>
    <t xml:space="preserve">Insurance</t>
  </si>
  <si>
    <t xml:space="preserve">Aon</t>
  </si>
  <si>
    <t xml:space="preserve">PP-2026-007</t>
  </si>
  <si>
    <t xml:space="preserve">General liability insurance</t>
  </si>
  <si>
    <t xml:space="preserve">Marsh</t>
  </si>
  <si>
    <t xml:space="preserve">PP-2026-008</t>
  </si>
  <si>
    <t xml:space="preserve">Industry conference sponsorships</t>
  </si>
  <si>
    <t xml:space="preserve">Various</t>
  </si>
  <si>
    <t xml:space="preserve">Accrual ID</t>
  </si>
  <si>
    <t xml:space="preserve">Period Originated</t>
  </si>
  <si>
    <t xml:space="preserve">Reversal Status</t>
  </si>
  <si>
    <t xml:space="preserve">Nov-26 Activity</t>
  </si>
  <si>
    <t xml:space="preserve">Notes</t>
  </si>
  <si>
    <t xml:space="preserve">ACR-2026-11-01</t>
  </si>
  <si>
    <t xml:space="preserve">Q4 bonus accrual — corporate</t>
  </si>
  <si>
    <t xml:space="preserve">Bonus</t>
  </si>
  <si>
    <t xml:space="preserve">Nov-26</t>
  </si>
  <si>
    <t xml:space="preserve">Active</t>
  </si>
  <si>
    <t xml:space="preserve">Trues up to FY target; OK</t>
  </si>
  <si>
    <t xml:space="preserve">ACR-2026-11-02</t>
  </si>
  <si>
    <t xml:space="preserve">Vacation accrual — true-up</t>
  </si>
  <si>
    <t xml:space="preserve">Vacation</t>
  </si>
  <si>
    <t xml:space="preserve">Standard monthly true-up</t>
  </si>
  <si>
    <t xml:space="preserve">ACR-2026-11-03</t>
  </si>
  <si>
    <t xml:space="preserve">Content costs not yet invoiced — Pinnacle</t>
  </si>
  <si>
    <t xml:space="preserve">Reverses Dec-26</t>
  </si>
  <si>
    <t xml:space="preserve">OK</t>
  </si>
  <si>
    <t xml:space="preserve">ACR-2026-11-04</t>
  </si>
  <si>
    <t xml:space="preserve">Content costs not yet invoiced — Northgate</t>
  </si>
  <si>
    <t xml:space="preserve">ACR-2026-11-05</t>
  </si>
  <si>
    <t xml:space="preserve">Content costs not yet invoiced — Other</t>
  </si>
  <si>
    <t xml:space="preserve">Several invoices received in Nov</t>
  </si>
  <si>
    <t xml:space="preserve">ACR-2026-10-12</t>
  </si>
  <si>
    <t xml:space="preserve">Performance marketing — Meta retargeting</t>
  </si>
  <si>
    <t xml:space="preserve">Oct-26</t>
  </si>
  <si>
    <t xml:space="preserve">NOT REVERSED</t>
  </si>
  <si>
    <t xml:space="preserve">STALE: should have reversed in Nov when invoice posted</t>
  </si>
  <si>
    <t xml:space="preserve">ACR-2026-11-06</t>
  </si>
  <si>
    <t xml:space="preserve">Performance marketing — Nov accrual</t>
  </si>
  <si>
    <t xml:space="preserve">High due to Nov campaign spend</t>
  </si>
  <si>
    <t xml:space="preserve">ACR-2026-11-07</t>
  </si>
  <si>
    <t xml:space="preserve">Sales commission accrual</t>
  </si>
  <si>
    <t xml:space="preserve">Compensation</t>
  </si>
  <si>
    <t xml:space="preserve">ACR-2026-11-08</t>
  </si>
  <si>
    <t xml:space="preserve">Professional fees — legal</t>
  </si>
  <si>
    <t xml:space="preserve">ACR-2026-11-09</t>
  </si>
  <si>
    <t xml:space="preserve">Utilities and facilities</t>
  </si>
  <si>
    <t xml:space="preserve">ACR-2026-11-10</t>
  </si>
  <si>
    <t xml:space="preserve">Other operating accruals — block</t>
  </si>
  <si>
    <t xml:space="preserve">Bank Reconciliation — LuminaUS Operating Account #4471</t>
  </si>
  <si>
    <t xml:space="preserve">Period: November 30, 2026</t>
  </si>
  <si>
    <t xml:space="preserve">Reconciliation Summary</t>
  </si>
  <si>
    <t xml:space="preserve">Bank statement balance — Nov 30, 2026</t>
  </si>
  <si>
    <t xml:space="preserve">Add: Deposits in transit</t>
  </si>
  <si>
    <t xml:space="preserve">Less: Outstanding checks (see detail)</t>
  </si>
  <si>
    <t xml:space="preserve">Adjusted bank balance</t>
  </si>
  <si>
    <t xml:space="preserve">Book balance — GL 100100 LuminaUS</t>
  </si>
  <si>
    <t xml:space="preserve">Reconciling items (per detail)</t>
  </si>
  <si>
    <t xml:space="preserve">Adjusted book balance</t>
  </si>
  <si>
    <t xml:space="preserve">DIFFERENCE (should be zero)</t>
  </si>
  <si>
    <t xml:space="preserve">Outstanding Checks Detail</t>
  </si>
  <si>
    <t xml:space="preserve">Check #</t>
  </si>
  <si>
    <t xml:space="preserve">Date Issued</t>
  </si>
  <si>
    <t xml:space="preserve">Side (Bank/Book)</t>
  </si>
  <si>
    <t xml:space="preserve">Payee</t>
  </si>
  <si>
    <t xml:space="preserve">Amount</t>
  </si>
  <si>
    <t xml:space="preserve">4518</t>
  </si>
  <si>
    <t xml:space="preserve">Bank</t>
  </si>
  <si>
    <t xml:space="preserve">Pinnacle Studios — content fee</t>
  </si>
  <si>
    <t xml:space="preserve">4519</t>
  </si>
  <si>
    <t xml:space="preserve">AWS — Nov hosting</t>
  </si>
  <si>
    <t xml:space="preserve">4520</t>
  </si>
  <si>
    <t xml:space="preserve">Payroll — Nov supplemental</t>
  </si>
  <si>
    <t xml:space="preserve">4521</t>
  </si>
  <si>
    <t xml:space="preserve">Greenway Productions — content invoice</t>
  </si>
  <si>
    <t xml:space="preserve">BK-001</t>
  </si>
  <si>
    <t xml:space="preserve">Book</t>
  </si>
  <si>
    <t xml:space="preserve">Wire fees not yet recorded in GL</t>
  </si>
  <si>
    <t xml:space="preserve">BK-002</t>
  </si>
  <si>
    <t xml:space="preserve">Interest credit not yet recorded in GL</t>
  </si>
  <si>
    <t xml:space="preserve">Intercompany Balance Matrix — November 30, 2026</t>
  </si>
  <si>
    <t xml:space="preserve">Each row shows balance booked BY the entity in column A AGAINST the counterparty in column B</t>
  </si>
  <si>
    <t xml:space="preserve">Entity (booker)</t>
  </si>
  <si>
    <t xml:space="preserve">Counterparty</t>
  </si>
  <si>
    <t xml:space="preserve">Balance Type</t>
  </si>
  <si>
    <t xml:space="preserve">Match Status</t>
  </si>
  <si>
    <t xml:space="preserve">Receivable</t>
  </si>
  <si>
    <t xml:space="preserve">CHECK</t>
  </si>
  <si>
    <t xml:space="preserve">Payable</t>
  </si>
  <si>
    <t xml:space="preserve">Validation</t>
  </si>
  <si>
    <t xml:space="preserve">US→EMEA receivable vs EMEA→US payable</t>
  </si>
  <si>
    <t xml:space="preserve">MISMATCH — $12.4M difference</t>
  </si>
  <si>
    <t xml:space="preserve">US→APAC receivable vs APAC→US payable</t>
  </si>
  <si>
    <t xml:space="preserve">EMEA→APAC receivable vs APAC→EMEA payable</t>
  </si>
  <si>
    <t xml:space="preserve">Task ID</t>
  </si>
  <si>
    <t xml:space="preserve">Task</t>
  </si>
  <si>
    <t xml:space="preserve">Phase</t>
  </si>
  <si>
    <t xml:space="preserve">Owner</t>
  </si>
  <si>
    <t xml:space="preserve">Business Day</t>
  </si>
  <si>
    <t xml:space="preserve">Target Date</t>
  </si>
  <si>
    <t xml:space="preserve">Dependencies</t>
  </si>
  <si>
    <t xml:space="preserve">Status</t>
  </si>
  <si>
    <t xml:space="preserve">T-001</t>
  </si>
  <si>
    <t xml:space="preserve">Period cutoff confirmation</t>
  </si>
  <si>
    <t xml:space="preserve">BD1</t>
  </si>
  <si>
    <t xml:space="preserve">Controller</t>
  </si>
  <si>
    <t xml:space="preserve">Complete</t>
  </si>
  <si>
    <t xml:space="preserve">T-002</t>
  </si>
  <si>
    <t xml:space="preserve">Sub-ledger feeds loaded (AR/AP)</t>
  </si>
  <si>
    <t xml:space="preserve">Sr Accountant — Sub-ledger</t>
  </si>
  <si>
    <t xml:space="preserve">T-003</t>
  </si>
  <si>
    <t xml:space="preserve">Bank statement received and loaded</t>
  </si>
  <si>
    <t xml:space="preserve">Sr Accountant — Treasury</t>
  </si>
  <si>
    <t xml:space="preserve">T-004</t>
  </si>
  <si>
    <t xml:space="preserve">Bank reconciliation — operating account</t>
  </si>
  <si>
    <t xml:space="preserve">BD2</t>
  </si>
  <si>
    <t xml:space="preserve">In Progress</t>
  </si>
  <si>
    <t xml:space="preserve">Outstanding check #4521 flagged</t>
  </si>
  <si>
    <t xml:space="preserve">T-005</t>
  </si>
  <si>
    <t xml:space="preserve">Intercompany matching</t>
  </si>
  <si>
    <t xml:space="preserve">Sr Accountant — Consolidations</t>
  </si>
  <si>
    <t xml:space="preserve">US-EMEA mismatch under investigation</t>
  </si>
  <si>
    <t xml:space="preserve">T-006</t>
  </si>
  <si>
    <t xml:space="preserve">Standard monthly accruals</t>
  </si>
  <si>
    <t xml:space="preserve">Sr Accountant — Accruals</t>
  </si>
  <si>
    <t xml:space="preserve">T-007</t>
  </si>
  <si>
    <t xml:space="preserve">Prepaid amortization JEs</t>
  </si>
  <si>
    <t xml:space="preserve">BD3</t>
  </si>
  <si>
    <t xml:space="preserve">Sr Accountant — GL</t>
  </si>
  <si>
    <t xml:space="preserve">Not Started</t>
  </si>
  <si>
    <t xml:space="preserve">T-008</t>
  </si>
  <si>
    <t xml:space="preserve">Content amortization JEs</t>
  </si>
  <si>
    <t xml:space="preserve">Content Accounting Lead</t>
  </si>
  <si>
    <t xml:space="preserve">T-009</t>
  </si>
  <si>
    <t xml:space="preserve">JE review — pass 1</t>
  </si>
  <si>
    <t xml:space="preserve">Assistant Controller</t>
  </si>
  <si>
    <t xml:space="preserve">T-004,T-005,T-006,T-007,T-008</t>
  </si>
  <si>
    <t xml:space="preserve">T-010</t>
  </si>
  <si>
    <t xml:space="preserve">Flux analysis — P&amp;L</t>
  </si>
  <si>
    <t xml:space="preserve">BD4</t>
  </si>
  <si>
    <t xml:space="preserve">FP&amp;A Manager</t>
  </si>
  <si>
    <t xml:space="preserve">T-011</t>
  </si>
  <si>
    <t xml:space="preserve">TB review and adjusting entries</t>
  </si>
  <si>
    <t xml:space="preserve">T-012</t>
  </si>
  <si>
    <t xml:space="preserve">Balance sheet flux review</t>
  </si>
  <si>
    <t xml:space="preserve">T-013</t>
  </si>
  <si>
    <t xml:space="preserve">Final TB locked</t>
  </si>
  <si>
    <t xml:space="preserve">BD5</t>
  </si>
  <si>
    <t xml:space="preserve">T-014</t>
  </si>
  <si>
    <t xml:space="preserve">Close package assembled</t>
  </si>
  <si>
    <t xml:space="preserve">T-013,T-010,T-012</t>
  </si>
  <si>
    <t xml:space="preserve">T-015</t>
  </si>
  <si>
    <t xml:space="preserve">CFO review and sign-off</t>
  </si>
  <si>
    <t xml:space="preserve">CFO</t>
  </si>
  <si>
    <t xml:space="preserve">T-016</t>
  </si>
  <si>
    <t xml:space="preserve">Reporting submission (HFM/EPM)</t>
  </si>
  <si>
    <t xml:space="preserve">Sr Accountant — Reporting</t>
  </si>
  <si>
    <t xml:space="preserve">JE #</t>
  </si>
  <si>
    <t xml:space="preserve">Post Date</t>
  </si>
  <si>
    <t xml:space="preserve">Day of Week</t>
  </si>
  <si>
    <t xml:space="preserve">Posted By</t>
  </si>
  <si>
    <t xml:space="preserve">Debit Account</t>
  </si>
  <si>
    <t xml:space="preserve">Credit Account</t>
  </si>
  <si>
    <t xml:space="preserve">Support Doc Ref</t>
  </si>
  <si>
    <t xml:space="preserve">Flag</t>
  </si>
  <si>
    <t xml:space="preserve">JE-2026-11-0035</t>
  </si>
  <si>
    <t xml:space="preserve">Monday</t>
  </si>
  <si>
    <t xml:space="preserve">Sarah Chen</t>
  </si>
  <si>
    <t xml:space="preserve">Prepaid content amortization — Pinnacle</t>
  </si>
  <si>
    <t xml:space="preserve">500100 Content Amortization</t>
  </si>
  <si>
    <t xml:space="preserve">120100 Prepaid Content Licenses</t>
  </si>
  <si>
    <t xml:space="preserve">AMORT-2026-11-001</t>
  </si>
  <si>
    <t xml:space="preserve">JE-2026-11-0036</t>
  </si>
  <si>
    <t xml:space="preserve">Prepaid content amortization — Northgate</t>
  </si>
  <si>
    <t xml:space="preserve">AMORT-2026-11-002</t>
  </si>
  <si>
    <t xml:space="preserve">JE-2026-11-0037</t>
  </si>
  <si>
    <t xml:space="preserve">Prepaid software amortization</t>
  </si>
  <si>
    <t xml:space="preserve">600600 Tech Infrastructure</t>
  </si>
  <si>
    <t xml:space="preserve">120200 Prepaid Software</t>
  </si>
  <si>
    <t xml:space="preserve">AMORT-2026-11-003</t>
  </si>
  <si>
    <t xml:space="preserve">JE-2026-11-0038</t>
  </si>
  <si>
    <t xml:space="preserve">David Park</t>
  </si>
  <si>
    <t xml:space="preserve">Capitalized content amortization — net</t>
  </si>
  <si>
    <t xml:space="preserve">140100 Capitalized Content - Net</t>
  </si>
  <si>
    <t xml:space="preserve">AMORT-2026-11-004</t>
  </si>
  <si>
    <t xml:space="preserve">JE-2026-11-0039</t>
  </si>
  <si>
    <t xml:space="preserve">Maria Lopez</t>
  </si>
  <si>
    <t xml:space="preserve">Q4 bonus accrual true-up</t>
  </si>
  <si>
    <t xml:space="preserve">600500 Salaries - G&amp;A</t>
  </si>
  <si>
    <t xml:space="preserve">210100 Accrued Bonus</t>
  </si>
  <si>
    <t xml:space="preserve">COMP-2026-11-018</t>
  </si>
  <si>
    <t xml:space="preserve">JE-2026-11-0040</t>
  </si>
  <si>
    <t xml:space="preserve">Performance marketing accrual — Meta/Google/TikTok</t>
  </si>
  <si>
    <t xml:space="preserve">600100 Marketing - Performance</t>
  </si>
  <si>
    <t xml:space="preserve">210400 Accrued Marketing</t>
  </si>
  <si>
    <t xml:space="preserve">MKT-2026-11-031</t>
  </si>
  <si>
    <t xml:space="preserve">JE-2026-11-0041</t>
  </si>
  <si>
    <t xml:space="preserve">CDN cost accrual — November traffic</t>
  </si>
  <si>
    <t xml:space="preserve">500200 Streaming Delivery (CDN)</t>
  </si>
  <si>
    <t xml:space="preserve">210500 Other Accruals</t>
  </si>
  <si>
    <t xml:space="preserve">INFRA-2026-11-007</t>
  </si>
  <si>
    <t xml:space="preserve">JE-2026-11-0042</t>
  </si>
  <si>
    <t xml:space="preserve">Saturday</t>
  </si>
  <si>
    <t xml:space="preserve">James Walker</t>
  </si>
  <si>
    <t xml:space="preserve">Reclassification — content costs</t>
  </si>
  <si>
    <t xml:space="preserve">REVIEW</t>
  </si>
  <si>
    <t xml:space="preserve">JE-2026-11-0043</t>
  </si>
  <si>
    <t xml:space="preserve">D&amp;O insurance amortization</t>
  </si>
  <si>
    <t xml:space="preserve">600700 Professional Fees</t>
  </si>
  <si>
    <t xml:space="preserve">120300 Prepaid Insurance</t>
  </si>
  <si>
    <t xml:space="preserve">INS-2026-11-001</t>
  </si>
  <si>
    <t xml:space="preserve">JE-2026-11-0044</t>
  </si>
  <si>
    <t xml:space="preserve">Vacation accrual true-up</t>
  </si>
  <si>
    <t xml:space="preserve">210200 Accrued Vacation</t>
  </si>
  <si>
    <t xml:space="preserve">COMP-2026-11-019</t>
  </si>
  <si>
    <t xml:space="preserve">JE-2026-11-0045</t>
  </si>
  <si>
    <t xml:space="preserve">600300 Sales Commissions</t>
  </si>
  <si>
    <t xml:space="preserve">COMP-2026-11-020</t>
  </si>
  <si>
    <t xml:space="preserve">JE-2026-11-0046</t>
  </si>
  <si>
    <t xml:space="preserve">FX revaluation — IC balances</t>
  </si>
  <si>
    <t xml:space="preserve">700300 FX Gain/Loss</t>
  </si>
  <si>
    <t xml:space="preserve">130100 IC Receivable - LuminaEMEA</t>
  </si>
  <si>
    <t xml:space="preserve">FX-2026-11-001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</si>
</sst>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_);_(\$* \(#,##0\);_(\$* \-_);_(@_)"/>
    <numFmt numFmtId="166" formatCode="0.0%;\(0.0%\);\-"/>
    <numFmt numFmtId="167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EB9C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E6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3" t="s">
        <v>11</v>
      </c>
      <c r="B9" s="2"/>
    </row>
    <row r="10" customFormat="false" ht="15" hidden="false" customHeight="false" outlineLevel="0" collapsed="false">
      <c r="A10" s="2" t="s">
        <v>12</v>
      </c>
      <c r="B10" s="2" t="s">
        <v>13</v>
      </c>
    </row>
    <row r="11" customFormat="false" ht="15" hidden="false" customHeight="false" outlineLevel="0" collapsed="false">
      <c r="A11" s="2" t="s">
        <v>14</v>
      </c>
      <c r="B11" s="2" t="s">
        <v>15</v>
      </c>
    </row>
    <row r="12" customFormat="false" ht="15" hidden="false" customHeight="false" outlineLevel="0" collapsed="false">
      <c r="A12" s="2" t="s">
        <v>16</v>
      </c>
      <c r="B12" s="2" t="s">
        <v>17</v>
      </c>
    </row>
    <row r="13" customFormat="false" ht="15" hidden="false" customHeight="false" outlineLevel="0" collapsed="false">
      <c r="A13" s="2" t="s">
        <v>18</v>
      </c>
      <c r="B13" s="2" t="s">
        <v>19</v>
      </c>
    </row>
    <row r="14" customFormat="false" ht="15" hidden="false" customHeight="false" outlineLevel="0" collapsed="false">
      <c r="A14" s="2" t="s">
        <v>20</v>
      </c>
      <c r="B14" s="2" t="s">
        <v>21</v>
      </c>
    </row>
    <row r="15" customFormat="false" ht="15" hidden="false" customHeight="false" outlineLevel="0" collapsed="false">
      <c r="A15" s="2" t="s">
        <v>22</v>
      </c>
      <c r="B15" s="2" t="s">
        <v>23</v>
      </c>
    </row>
    <row r="16" customFormat="false" ht="15" hidden="false" customHeight="false" outlineLevel="0" collapsed="false">
      <c r="A16" s="2" t="s">
        <v>24</v>
      </c>
      <c r="B16" s="2" t="s">
        <v>25</v>
      </c>
    </row>
    <row r="17" customFormat="false" ht="15" hidden="false" customHeight="false" outlineLevel="0" collapsed="false">
      <c r="A17" s="2" t="s">
        <v>26</v>
      </c>
      <c r="B17" s="2" t="s">
        <v>27</v>
      </c>
    </row>
    <row r="18" customFormat="false" ht="15" hidden="false" customHeight="false" outlineLevel="0" collapsed="false">
      <c r="A18" s="2" t="s">
        <v>28</v>
      </c>
      <c r="B18" s="2" t="s">
        <v>29</v>
      </c>
    </row>
    <row r="19" customFormat="false" ht="15" hidden="false" customHeight="false" outlineLevel="0" collapsed="false">
      <c r="A19" s="2"/>
      <c r="B19" s="2"/>
    </row>
    <row r="20" customFormat="false" ht="15" hidden="false" customHeight="false" outlineLevel="0" collapsed="false">
      <c r="A20" s="3" t="s">
        <v>30</v>
      </c>
      <c r="B20" s="2" t="s">
        <v>31</v>
      </c>
    </row>
    <row r="21" customFormat="false" ht="15" hidden="false" customHeight="false" outlineLevel="0" collapsed="false">
      <c r="A21" s="2" t="s">
        <v>32</v>
      </c>
      <c r="B21" s="2" t="s">
        <v>33</v>
      </c>
    </row>
    <row r="22" customFormat="false" ht="15" hidden="false" customHeight="false" outlineLevel="0" collapsed="false">
      <c r="A22" s="2" t="s">
        <v>34</v>
      </c>
      <c r="B22" s="2" t="s">
        <v>35</v>
      </c>
    </row>
    <row r="23" customFormat="false" ht="15" hidden="false" customHeight="false" outlineLevel="0" collapsed="false">
      <c r="A23" s="2" t="s">
        <v>36</v>
      </c>
      <c r="B23" s="2" t="s">
        <v>37</v>
      </c>
    </row>
    <row r="24" customFormat="false" ht="15" hidden="false" customHeight="false" outlineLevel="0" collapsed="false">
      <c r="A24" s="2" t="s">
        <v>38</v>
      </c>
      <c r="B24" s="2" t="s">
        <v>39</v>
      </c>
    </row>
    <row r="25" customFormat="false" ht="15" hidden="false" customHeight="false" outlineLevel="0" collapsed="false">
      <c r="A25" s="2" t="s">
        <v>40</v>
      </c>
      <c r="B25" s="2" t="s">
        <v>41</v>
      </c>
    </row>
    <row r="26" customFormat="false" ht="15" hidden="false" customHeight="false" outlineLevel="0" collapsed="false">
      <c r="A26" s="2" t="s">
        <v>42</v>
      </c>
      <c r="B26" s="2" t="s">
        <v>43</v>
      </c>
    </row>
    <row r="27" customFormat="false" ht="15" hidden="false" customHeight="false" outlineLevel="0" collapsed="false">
      <c r="A27" s="2" t="s">
        <v>44</v>
      </c>
      <c r="B27" s="2" t="s">
        <v>45</v>
      </c>
    </row>
    <row r="28" customFormat="false" ht="15" hidden="false" customHeight="false" outlineLevel="0" collapsed="false">
      <c r="A28" s="2"/>
      <c r="B28" s="2"/>
    </row>
    <row r="29" customFormat="false" ht="15" hidden="false" customHeight="false" outlineLevel="0" collapsed="false">
      <c r="A29" s="3" t="s">
        <v>46</v>
      </c>
      <c r="B29" s="2"/>
    </row>
    <row r="30" customFormat="false" ht="15" hidden="false" customHeight="false" outlineLevel="0" collapsed="false">
      <c r="A30" s="2" t="s">
        <v>47</v>
      </c>
      <c r="B30" s="2" t="s">
        <v>48</v>
      </c>
    </row>
    <row r="31" customFormat="false" ht="15" hidden="false" customHeight="false" outlineLevel="0" collapsed="false">
      <c r="A31" s="2" t="s">
        <v>49</v>
      </c>
      <c r="B31" s="2" t="s">
        <v>50</v>
      </c>
    </row>
    <row r="32" customFormat="false" ht="15" hidden="false" customHeight="false" outlineLevel="0" collapsed="false">
      <c r="A32" s="2" t="s">
        <v>51</v>
      </c>
      <c r="B32" s="2" t="s">
        <v>52</v>
      </c>
    </row>
    <row r="33" customFormat="false" ht="15" hidden="false" customHeight="false" outlineLevel="0" collapsed="false">
      <c r="A33" s="2" t="s">
        <v>53</v>
      </c>
      <c r="B33" s="2" t="s">
        <v>54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9" min="5" style="0" width="16"/>
    <col collapsed="false" customWidth="true" hidden="false" outlineLevel="0" max="10" min="10" style="0" width="11"/>
  </cols>
  <sheetData>
    <row r="1" customFormat="false" ht="15" hidden="false" customHeight="false" outlineLevel="0" collapsed="false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</row>
    <row r="2" customFormat="false" ht="15" hidden="false" customHeight="false" outlineLevel="0" collapsed="false">
      <c r="A2" s="5" t="s">
        <v>65</v>
      </c>
      <c r="B2" s="5" t="s">
        <v>66</v>
      </c>
      <c r="C2" s="5" t="s">
        <v>67</v>
      </c>
      <c r="D2" s="5" t="s">
        <v>68</v>
      </c>
      <c r="E2" s="6" t="n">
        <v>142500000</v>
      </c>
      <c r="F2" s="6" t="n">
        <v>138900000</v>
      </c>
      <c r="G2" s="6" t="n">
        <v>140000000</v>
      </c>
      <c r="H2" s="7" t="n">
        <f aca="false">E2-F2</f>
        <v>3600000</v>
      </c>
      <c r="I2" s="7" t="n">
        <f aca="false">E2-G2</f>
        <v>2500000</v>
      </c>
      <c r="J2" s="8" t="n">
        <f aca="false">IFERROR((E2-G2)/G2,0)</f>
        <v>0.0178571428571429</v>
      </c>
    </row>
    <row r="3" customFormat="false" ht="15" hidden="false" customHeight="false" outlineLevel="0" collapsed="false">
      <c r="A3" s="5" t="s">
        <v>65</v>
      </c>
      <c r="B3" s="5" t="s">
        <v>66</v>
      </c>
      <c r="C3" s="5" t="s">
        <v>67</v>
      </c>
      <c r="D3" s="5" t="s">
        <v>69</v>
      </c>
      <c r="E3" s="6" t="n">
        <v>38200000</v>
      </c>
      <c r="F3" s="6" t="n">
        <v>36500000</v>
      </c>
      <c r="G3" s="6" t="n">
        <v>37000000</v>
      </c>
      <c r="H3" s="7" t="n">
        <f aca="false">E3-F3</f>
        <v>1700000</v>
      </c>
      <c r="I3" s="7" t="n">
        <f aca="false">E3-G3</f>
        <v>1200000</v>
      </c>
      <c r="J3" s="8" t="n">
        <f aca="false">IFERROR((E3-G3)/G3,0)</f>
        <v>0.0324324324324324</v>
      </c>
    </row>
    <row r="4" customFormat="false" ht="15" hidden="false" customHeight="false" outlineLevel="0" collapsed="false">
      <c r="A4" s="5" t="s">
        <v>65</v>
      </c>
      <c r="B4" s="5" t="s">
        <v>66</v>
      </c>
      <c r="C4" s="5" t="s">
        <v>67</v>
      </c>
      <c r="D4" s="5" t="s">
        <v>70</v>
      </c>
      <c r="E4" s="6" t="n">
        <v>22100000</v>
      </c>
      <c r="F4" s="6" t="n">
        <v>21800000</v>
      </c>
      <c r="G4" s="6" t="n">
        <v>21500000</v>
      </c>
      <c r="H4" s="7" t="n">
        <f aca="false">E4-F4</f>
        <v>300000</v>
      </c>
      <c r="I4" s="7" t="n">
        <f aca="false">E4-G4</f>
        <v>600000</v>
      </c>
      <c r="J4" s="8" t="n">
        <f aca="false">IFERROR((E4-G4)/G4,0)</f>
        <v>0.027906976744186</v>
      </c>
    </row>
    <row r="5" customFormat="false" ht="15" hidden="false" customHeight="false" outlineLevel="0" collapsed="false">
      <c r="A5" s="5" t="s">
        <v>71</v>
      </c>
      <c r="B5" s="5" t="s">
        <v>72</v>
      </c>
      <c r="C5" s="5" t="s">
        <v>67</v>
      </c>
      <c r="D5" s="5" t="s">
        <v>68</v>
      </c>
      <c r="E5" s="6" t="n">
        <v>285000000</v>
      </c>
      <c r="F5" s="6" t="n">
        <v>280000000</v>
      </c>
      <c r="G5" s="6" t="n">
        <v>285000000</v>
      </c>
      <c r="H5" s="7" t="n">
        <f aca="false">E5-F5</f>
        <v>5000000</v>
      </c>
      <c r="I5" s="7" t="n">
        <f aca="false">E5-G5</f>
        <v>0</v>
      </c>
      <c r="J5" s="8" t="n">
        <f aca="false">IFERROR((E5-G5)/G5,0)</f>
        <v>0</v>
      </c>
    </row>
    <row r="6" customFormat="false" ht="15" hidden="false" customHeight="false" outlineLevel="0" collapsed="false">
      <c r="A6" s="5" t="s">
        <v>73</v>
      </c>
      <c r="B6" s="5" t="s">
        <v>74</v>
      </c>
      <c r="C6" s="5" t="s">
        <v>67</v>
      </c>
      <c r="D6" s="5" t="s">
        <v>68</v>
      </c>
      <c r="E6" s="6" t="n">
        <v>48200000</v>
      </c>
      <c r="F6" s="6" t="n">
        <v>47100000</v>
      </c>
      <c r="G6" s="6" t="n">
        <v>46500000</v>
      </c>
      <c r="H6" s="7" t="n">
        <f aca="false">E6-F6</f>
        <v>1100000</v>
      </c>
      <c r="I6" s="7" t="n">
        <f aca="false">E6-G6</f>
        <v>1700000</v>
      </c>
      <c r="J6" s="8" t="n">
        <f aca="false">IFERROR((E6-G6)/G6,0)</f>
        <v>0.0365591397849462</v>
      </c>
    </row>
    <row r="7" customFormat="false" ht="15" hidden="false" customHeight="false" outlineLevel="0" collapsed="false">
      <c r="A7" s="5" t="s">
        <v>73</v>
      </c>
      <c r="B7" s="5" t="s">
        <v>74</v>
      </c>
      <c r="C7" s="5" t="s">
        <v>67</v>
      </c>
      <c r="D7" s="5" t="s">
        <v>69</v>
      </c>
      <c r="E7" s="6" t="n">
        <v>18900000</v>
      </c>
      <c r="F7" s="6" t="n">
        <v>17800000</v>
      </c>
      <c r="G7" s="6" t="n">
        <v>18200000</v>
      </c>
      <c r="H7" s="7" t="n">
        <f aca="false">E7-F7</f>
        <v>1100000</v>
      </c>
      <c r="I7" s="7" t="n">
        <f aca="false">E7-G7</f>
        <v>700000</v>
      </c>
      <c r="J7" s="8" t="n">
        <f aca="false">IFERROR((E7-G7)/G7,0)</f>
        <v>0.0384615384615385</v>
      </c>
    </row>
    <row r="8" customFormat="false" ht="15" hidden="false" customHeight="false" outlineLevel="0" collapsed="false">
      <c r="A8" s="5" t="s">
        <v>73</v>
      </c>
      <c r="B8" s="5" t="s">
        <v>74</v>
      </c>
      <c r="C8" s="5" t="s">
        <v>67</v>
      </c>
      <c r="D8" s="5" t="s">
        <v>70</v>
      </c>
      <c r="E8" s="6" t="n">
        <v>9400000</v>
      </c>
      <c r="F8" s="6" t="n">
        <v>9100000</v>
      </c>
      <c r="G8" s="6" t="n">
        <v>9200000</v>
      </c>
      <c r="H8" s="7" t="n">
        <f aca="false">E8-F8</f>
        <v>300000</v>
      </c>
      <c r="I8" s="7" t="n">
        <f aca="false">E8-G8</f>
        <v>200000</v>
      </c>
      <c r="J8" s="8" t="n">
        <f aca="false">IFERROR((E8-G8)/G8,0)</f>
        <v>0.0217391304347826</v>
      </c>
    </row>
    <row r="9" customFormat="false" ht="15" hidden="false" customHeight="false" outlineLevel="0" collapsed="false">
      <c r="A9" s="5" t="s">
        <v>75</v>
      </c>
      <c r="B9" s="5" t="s">
        <v>76</v>
      </c>
      <c r="C9" s="5" t="s">
        <v>67</v>
      </c>
      <c r="D9" s="5" t="s">
        <v>68</v>
      </c>
      <c r="E9" s="6" t="n">
        <v>31500000</v>
      </c>
      <c r="F9" s="6" t="n">
        <v>28200000</v>
      </c>
      <c r="G9" s="6" t="n">
        <v>29000000</v>
      </c>
      <c r="H9" s="7" t="n">
        <f aca="false">E9-F9</f>
        <v>3300000</v>
      </c>
      <c r="I9" s="7" t="n">
        <f aca="false">E9-G9</f>
        <v>2500000</v>
      </c>
      <c r="J9" s="8" t="n">
        <f aca="false">IFERROR((E9-G9)/G9,0)</f>
        <v>0.0862068965517241</v>
      </c>
    </row>
    <row r="10" customFormat="false" ht="15" hidden="false" customHeight="false" outlineLevel="0" collapsed="false">
      <c r="A10" s="5" t="s">
        <v>77</v>
      </c>
      <c r="B10" s="5" t="s">
        <v>78</v>
      </c>
      <c r="C10" s="5" t="s">
        <v>67</v>
      </c>
      <c r="D10" s="5" t="s">
        <v>68</v>
      </c>
      <c r="E10" s="6" t="n">
        <v>2400000</v>
      </c>
      <c r="F10" s="6" t="n">
        <v>2100000</v>
      </c>
      <c r="G10" s="6" t="n">
        <v>2000000</v>
      </c>
      <c r="H10" s="7" t="n">
        <f aca="false">E10-F10</f>
        <v>300000</v>
      </c>
      <c r="I10" s="7" t="n">
        <f aca="false">E10-G10</f>
        <v>400000</v>
      </c>
      <c r="J10" s="8" t="n">
        <f aca="false">IFERROR((E10-G10)/G10,0)</f>
        <v>0.2</v>
      </c>
    </row>
    <row r="11" customFormat="false" ht="15" hidden="false" customHeight="false" outlineLevel="0" collapsed="false">
      <c r="A11" s="5" t="s">
        <v>79</v>
      </c>
      <c r="B11" s="5" t="s">
        <v>80</v>
      </c>
      <c r="C11" s="5" t="s">
        <v>67</v>
      </c>
      <c r="D11" s="5" t="s">
        <v>68</v>
      </c>
      <c r="E11" s="6" t="n">
        <v>215000000</v>
      </c>
      <c r="F11" s="6" t="n">
        <v>248000000</v>
      </c>
      <c r="G11" s="6" t="n">
        <v>220000000</v>
      </c>
      <c r="H11" s="7" t="n">
        <f aca="false">E11-F11</f>
        <v>-33000000</v>
      </c>
      <c r="I11" s="7" t="n">
        <f aca="false">E11-G11</f>
        <v>-5000000</v>
      </c>
      <c r="J11" s="8" t="n">
        <f aca="false">IFERROR((E11-G11)/G11,0)</f>
        <v>-0.0227272727272727</v>
      </c>
    </row>
    <row r="12" customFormat="false" ht="15" hidden="false" customHeight="false" outlineLevel="0" collapsed="false">
      <c r="A12" s="5" t="s">
        <v>81</v>
      </c>
      <c r="B12" s="5" t="s">
        <v>82</v>
      </c>
      <c r="C12" s="5" t="s">
        <v>67</v>
      </c>
      <c r="D12" s="5" t="s">
        <v>68</v>
      </c>
      <c r="E12" s="6" t="n">
        <v>8400000</v>
      </c>
      <c r="F12" s="6" t="n">
        <v>9200000</v>
      </c>
      <c r="G12" s="6" t="n">
        <v>8500000</v>
      </c>
      <c r="H12" s="7" t="n">
        <f aca="false">E12-F12</f>
        <v>-800000</v>
      </c>
      <c r="I12" s="7" t="n">
        <f aca="false">E12-G12</f>
        <v>-100000</v>
      </c>
      <c r="J12" s="8" t="n">
        <f aca="false">IFERROR((E12-G12)/G12,0)</f>
        <v>-0.0117647058823529</v>
      </c>
    </row>
    <row r="13" customFormat="false" ht="15" hidden="false" customHeight="false" outlineLevel="0" collapsed="false">
      <c r="A13" s="5" t="s">
        <v>83</v>
      </c>
      <c r="B13" s="5" t="s">
        <v>84</v>
      </c>
      <c r="C13" s="5" t="s">
        <v>67</v>
      </c>
      <c r="D13" s="5" t="s">
        <v>68</v>
      </c>
      <c r="E13" s="6" t="n">
        <v>3200000</v>
      </c>
      <c r="F13" s="6" t="n">
        <v>3500000</v>
      </c>
      <c r="G13" s="6" t="n">
        <v>3300000</v>
      </c>
      <c r="H13" s="7" t="n">
        <f aca="false">E13-F13</f>
        <v>-300000</v>
      </c>
      <c r="I13" s="7" t="n">
        <f aca="false">E13-G13</f>
        <v>-100000</v>
      </c>
      <c r="J13" s="8" t="n">
        <f aca="false">IFERROR((E13-G13)/G13,0)</f>
        <v>-0.0303030303030303</v>
      </c>
    </row>
    <row r="14" customFormat="false" ht="15" hidden="false" customHeight="false" outlineLevel="0" collapsed="false">
      <c r="A14" s="5" t="s">
        <v>85</v>
      </c>
      <c r="B14" s="5" t="s">
        <v>86</v>
      </c>
      <c r="C14" s="5" t="s">
        <v>67</v>
      </c>
      <c r="D14" s="5" t="s">
        <v>68</v>
      </c>
      <c r="E14" s="6" t="n">
        <v>1800000</v>
      </c>
      <c r="F14" s="6" t="n">
        <v>1900000</v>
      </c>
      <c r="G14" s="6" t="n">
        <v>1900000</v>
      </c>
      <c r="H14" s="7" t="n">
        <f aca="false">E14-F14</f>
        <v>-100000</v>
      </c>
      <c r="I14" s="7" t="n">
        <f aca="false">E14-G14</f>
        <v>-100000</v>
      </c>
      <c r="J14" s="8" t="n">
        <f aca="false">IFERROR((E14-G14)/G14,0)</f>
        <v>-0.0526315789473684</v>
      </c>
    </row>
    <row r="15" customFormat="false" ht="15" hidden="false" customHeight="false" outlineLevel="0" collapsed="false">
      <c r="A15" s="5" t="s">
        <v>87</v>
      </c>
      <c r="B15" s="5" t="s">
        <v>88</v>
      </c>
      <c r="C15" s="5" t="s">
        <v>67</v>
      </c>
      <c r="D15" s="5" t="s">
        <v>68</v>
      </c>
      <c r="E15" s="6" t="n">
        <v>12400000</v>
      </c>
      <c r="F15" s="6" t="n">
        <v>11800000</v>
      </c>
      <c r="G15" s="6" t="n">
        <v>12000000</v>
      </c>
      <c r="H15" s="7" t="n">
        <f aca="false">E15-F15</f>
        <v>600000</v>
      </c>
      <c r="I15" s="7" t="n">
        <f aca="false">E15-G15</f>
        <v>400000</v>
      </c>
      <c r="J15" s="8" t="n">
        <f aca="false">IFERROR((E15-G15)/G15,0)</f>
        <v>0.0333333333333333</v>
      </c>
    </row>
    <row r="16" customFormat="false" ht="15" hidden="false" customHeight="false" outlineLevel="0" collapsed="false">
      <c r="A16" s="5" t="s">
        <v>89</v>
      </c>
      <c r="B16" s="5" t="s">
        <v>90</v>
      </c>
      <c r="C16" s="5" t="s">
        <v>67</v>
      </c>
      <c r="D16" s="5" t="s">
        <v>68</v>
      </c>
      <c r="E16" s="6" t="n">
        <v>8700000</v>
      </c>
      <c r="F16" s="6" t="n">
        <v>8500000</v>
      </c>
      <c r="G16" s="6" t="n">
        <v>8600000</v>
      </c>
      <c r="H16" s="7" t="n">
        <f aca="false">E16-F16</f>
        <v>200000</v>
      </c>
      <c r="I16" s="7" t="n">
        <f aca="false">E16-G16</f>
        <v>100000</v>
      </c>
      <c r="J16" s="8" t="n">
        <f aca="false">IFERROR((E16-G16)/G16,0)</f>
        <v>0.0116279069767442</v>
      </c>
    </row>
    <row r="17" customFormat="false" ht="15" hidden="false" customHeight="false" outlineLevel="0" collapsed="false">
      <c r="A17" s="5" t="s">
        <v>91</v>
      </c>
      <c r="B17" s="5" t="s">
        <v>92</v>
      </c>
      <c r="C17" s="5" t="s">
        <v>67</v>
      </c>
      <c r="D17" s="5" t="s">
        <v>68</v>
      </c>
      <c r="E17" s="6" t="n">
        <v>1850000000</v>
      </c>
      <c r="F17" s="6" t="n">
        <v>1885000000</v>
      </c>
      <c r="G17" s="6" t="n">
        <v>1855000000</v>
      </c>
      <c r="H17" s="7" t="n">
        <f aca="false">E17-F17</f>
        <v>-35000000</v>
      </c>
      <c r="I17" s="7" t="n">
        <f aca="false">E17-G17</f>
        <v>-5000000</v>
      </c>
      <c r="J17" s="8" t="n">
        <f aca="false">IFERROR((E17-G17)/G17,0)</f>
        <v>-0.00269541778975741</v>
      </c>
    </row>
    <row r="18" customFormat="false" ht="15" hidden="false" customHeight="false" outlineLevel="0" collapsed="false">
      <c r="A18" s="5" t="s">
        <v>93</v>
      </c>
      <c r="B18" s="5" t="s">
        <v>94</v>
      </c>
      <c r="C18" s="5" t="s">
        <v>67</v>
      </c>
      <c r="D18" s="5" t="s">
        <v>68</v>
      </c>
      <c r="E18" s="6" t="n">
        <v>142000000</v>
      </c>
      <c r="F18" s="6" t="n">
        <v>144500000</v>
      </c>
      <c r="G18" s="6" t="n">
        <v>143000000</v>
      </c>
      <c r="H18" s="7" t="n">
        <f aca="false">E18-F18</f>
        <v>-2500000</v>
      </c>
      <c r="I18" s="7" t="n">
        <f aca="false">E18-G18</f>
        <v>-1000000</v>
      </c>
      <c r="J18" s="8" t="n">
        <f aca="false">IFERROR((E18-G18)/G18,0)</f>
        <v>-0.00699300699300699</v>
      </c>
    </row>
    <row r="19" customFormat="false" ht="15" hidden="false" customHeight="false" outlineLevel="0" collapsed="false">
      <c r="A19" s="5" t="s">
        <v>95</v>
      </c>
      <c r="B19" s="5" t="s">
        <v>96</v>
      </c>
      <c r="C19" s="5" t="s">
        <v>67</v>
      </c>
      <c r="D19" s="5" t="s">
        <v>68</v>
      </c>
      <c r="E19" s="6" t="n">
        <v>412000000</v>
      </c>
      <c r="F19" s="6" t="n">
        <v>412000000</v>
      </c>
      <c r="G19" s="6" t="n">
        <v>412000000</v>
      </c>
      <c r="H19" s="7" t="n">
        <f aca="false">E19-F19</f>
        <v>0</v>
      </c>
      <c r="I19" s="7" t="n">
        <f aca="false">E19-G19</f>
        <v>0</v>
      </c>
      <c r="J19" s="8" t="n">
        <f aca="false">IFERROR((E19-G19)/G19,0)</f>
        <v>0</v>
      </c>
    </row>
    <row r="20" customFormat="false" ht="15" hidden="false" customHeight="false" outlineLevel="0" collapsed="false">
      <c r="A20" s="5" t="s">
        <v>97</v>
      </c>
      <c r="B20" s="5" t="s">
        <v>98</v>
      </c>
      <c r="C20" s="5" t="s">
        <v>67</v>
      </c>
      <c r="D20" s="5" t="s">
        <v>68</v>
      </c>
      <c r="E20" s="6" t="n">
        <v>28500000</v>
      </c>
      <c r="F20" s="6" t="n">
        <v>28200000</v>
      </c>
      <c r="G20" s="6" t="n">
        <v>28000000</v>
      </c>
      <c r="H20" s="7" t="n">
        <f aca="false">E20-F20</f>
        <v>300000</v>
      </c>
      <c r="I20" s="7" t="n">
        <f aca="false">E20-G20</f>
        <v>500000</v>
      </c>
      <c r="J20" s="8" t="n">
        <f aca="false">IFERROR((E20-G20)/G20,0)</f>
        <v>0.0178571428571429</v>
      </c>
    </row>
    <row r="21" customFormat="false" ht="15" hidden="false" customHeight="false" outlineLevel="0" collapsed="false">
      <c r="A21" s="5" t="s">
        <v>99</v>
      </c>
      <c r="B21" s="5" t="s">
        <v>100</v>
      </c>
      <c r="C21" s="5" t="s">
        <v>67</v>
      </c>
      <c r="D21" s="5" t="s">
        <v>68</v>
      </c>
      <c r="E21" s="6" t="n">
        <v>38500000</v>
      </c>
      <c r="F21" s="6" t="n">
        <v>41200000</v>
      </c>
      <c r="G21" s="6" t="n">
        <v>39000000</v>
      </c>
      <c r="H21" s="7" t="n">
        <f aca="false">E21-F21</f>
        <v>-2700000</v>
      </c>
      <c r="I21" s="7" t="n">
        <f aca="false">E21-G21</f>
        <v>-500000</v>
      </c>
      <c r="J21" s="8" t="n">
        <f aca="false">IFERROR((E21-G21)/G21,0)</f>
        <v>-0.0128205128205128</v>
      </c>
    </row>
    <row r="22" customFormat="false" ht="15" hidden="false" customHeight="false" outlineLevel="0" collapsed="false">
      <c r="A22" s="5" t="s">
        <v>101</v>
      </c>
      <c r="B22" s="5" t="s">
        <v>102</v>
      </c>
      <c r="C22" s="5" t="s">
        <v>67</v>
      </c>
      <c r="D22" s="5" t="s">
        <v>68</v>
      </c>
      <c r="E22" s="6" t="n">
        <v>87200000</v>
      </c>
      <c r="F22" s="6" t="n">
        <v>92500000</v>
      </c>
      <c r="G22" s="6" t="n">
        <v>88000000</v>
      </c>
      <c r="H22" s="7" t="n">
        <f aca="false">E22-F22</f>
        <v>-5300000</v>
      </c>
      <c r="I22" s="7" t="n">
        <f aca="false">E22-G22</f>
        <v>-800000</v>
      </c>
      <c r="J22" s="8" t="n">
        <f aca="false">IFERROR((E22-G22)/G22,0)</f>
        <v>-0.00909090909090909</v>
      </c>
    </row>
    <row r="23" customFormat="false" ht="15" hidden="false" customHeight="false" outlineLevel="0" collapsed="false">
      <c r="A23" s="5" t="s">
        <v>103</v>
      </c>
      <c r="B23" s="5" t="s">
        <v>104</v>
      </c>
      <c r="C23" s="5" t="s">
        <v>67</v>
      </c>
      <c r="D23" s="5" t="s">
        <v>68</v>
      </c>
      <c r="E23" s="6" t="n">
        <v>28400000</v>
      </c>
      <c r="F23" s="6" t="n">
        <v>26000000</v>
      </c>
      <c r="G23" s="6" t="n">
        <v>28000000</v>
      </c>
      <c r="H23" s="7" t="n">
        <f aca="false">E23-F23</f>
        <v>2400000</v>
      </c>
      <c r="I23" s="7" t="n">
        <f aca="false">E23-G23</f>
        <v>400000</v>
      </c>
      <c r="J23" s="8" t="n">
        <f aca="false">IFERROR((E23-G23)/G23,0)</f>
        <v>0.0142857142857143</v>
      </c>
    </row>
    <row r="24" customFormat="false" ht="15" hidden="false" customHeight="false" outlineLevel="0" collapsed="false">
      <c r="A24" s="5" t="s">
        <v>105</v>
      </c>
      <c r="B24" s="5" t="s">
        <v>106</v>
      </c>
      <c r="C24" s="5" t="s">
        <v>67</v>
      </c>
      <c r="D24" s="5" t="s">
        <v>68</v>
      </c>
      <c r="E24" s="6" t="n">
        <v>12500000</v>
      </c>
      <c r="F24" s="6" t="n">
        <v>12100000</v>
      </c>
      <c r="G24" s="6" t="n">
        <v>12300000</v>
      </c>
      <c r="H24" s="7" t="n">
        <f aca="false">E24-F24</f>
        <v>400000</v>
      </c>
      <c r="I24" s="7" t="n">
        <f aca="false">E24-G24</f>
        <v>200000</v>
      </c>
      <c r="J24" s="8" t="n">
        <f aca="false">IFERROR((E24-G24)/G24,0)</f>
        <v>0.016260162601626</v>
      </c>
    </row>
    <row r="25" customFormat="false" ht="15" hidden="false" customHeight="false" outlineLevel="0" collapsed="false">
      <c r="A25" s="5" t="s">
        <v>107</v>
      </c>
      <c r="B25" s="5" t="s">
        <v>108</v>
      </c>
      <c r="C25" s="5" t="s">
        <v>67</v>
      </c>
      <c r="D25" s="5" t="s">
        <v>68</v>
      </c>
      <c r="E25" s="6" t="n">
        <v>45000000</v>
      </c>
      <c r="F25" s="6" t="n">
        <v>48500000</v>
      </c>
      <c r="G25" s="6" t="n">
        <v>44000000</v>
      </c>
      <c r="H25" s="7" t="n">
        <f aca="false">E25-F25</f>
        <v>-3500000</v>
      </c>
      <c r="I25" s="7" t="n">
        <f aca="false">E25-G25</f>
        <v>1000000</v>
      </c>
      <c r="J25" s="8" t="n">
        <f aca="false">IFERROR((E25-G25)/G25,0)</f>
        <v>0.0227272727272727</v>
      </c>
    </row>
    <row r="26" customFormat="false" ht="15" hidden="false" customHeight="false" outlineLevel="0" collapsed="false">
      <c r="A26" s="5" t="s">
        <v>109</v>
      </c>
      <c r="B26" s="5" t="s">
        <v>110</v>
      </c>
      <c r="C26" s="5" t="s">
        <v>67</v>
      </c>
      <c r="D26" s="5" t="s">
        <v>68</v>
      </c>
      <c r="E26" s="6" t="n">
        <v>14800000</v>
      </c>
      <c r="F26" s="6" t="n">
        <v>8200000</v>
      </c>
      <c r="G26" s="6" t="n">
        <v>6500000</v>
      </c>
      <c r="H26" s="7" t="n">
        <f aca="false">E26-F26</f>
        <v>6600000</v>
      </c>
      <c r="I26" s="7" t="n">
        <f aca="false">E26-G26</f>
        <v>8300000</v>
      </c>
      <c r="J26" s="8" t="n">
        <f aca="false">IFERROR((E26-G26)/G26,0)</f>
        <v>1.27692307692308</v>
      </c>
    </row>
    <row r="27" customFormat="false" ht="15" hidden="false" customHeight="false" outlineLevel="0" collapsed="false">
      <c r="A27" s="5" t="s">
        <v>111</v>
      </c>
      <c r="B27" s="5" t="s">
        <v>112</v>
      </c>
      <c r="C27" s="5" t="s">
        <v>67</v>
      </c>
      <c r="D27" s="5" t="s">
        <v>68</v>
      </c>
      <c r="E27" s="6" t="n">
        <v>8900000</v>
      </c>
      <c r="F27" s="6" t="n">
        <v>9100000</v>
      </c>
      <c r="G27" s="6" t="n">
        <v>8800000</v>
      </c>
      <c r="H27" s="7" t="n">
        <f aca="false">E27-F27</f>
        <v>-200000</v>
      </c>
      <c r="I27" s="7" t="n">
        <f aca="false">E27-G27</f>
        <v>100000</v>
      </c>
      <c r="J27" s="8" t="n">
        <f aca="false">IFERROR((E27-G27)/G27,0)</f>
        <v>0.0113636363636364</v>
      </c>
    </row>
    <row r="28" customFormat="false" ht="15" hidden="false" customHeight="false" outlineLevel="0" collapsed="false">
      <c r="A28" s="5" t="s">
        <v>113</v>
      </c>
      <c r="B28" s="5" t="s">
        <v>114</v>
      </c>
      <c r="C28" s="5" t="s">
        <v>67</v>
      </c>
      <c r="D28" s="5" t="s">
        <v>68</v>
      </c>
      <c r="E28" s="6" t="n">
        <v>124000000</v>
      </c>
      <c r="F28" s="6" t="n">
        <v>119000000</v>
      </c>
      <c r="G28" s="6" t="n">
        <v>121000000</v>
      </c>
      <c r="H28" s="7" t="n">
        <f aca="false">E28-F28</f>
        <v>5000000</v>
      </c>
      <c r="I28" s="7" t="n">
        <f aca="false">E28-G28</f>
        <v>3000000</v>
      </c>
      <c r="J28" s="8" t="n">
        <f aca="false">IFERROR((E28-G28)/G28,0)</f>
        <v>0.0247933884297521</v>
      </c>
    </row>
    <row r="29" customFormat="false" ht="15" hidden="false" customHeight="false" outlineLevel="0" collapsed="false">
      <c r="A29" s="5" t="s">
        <v>115</v>
      </c>
      <c r="B29" s="5" t="s">
        <v>116</v>
      </c>
      <c r="C29" s="5" t="s">
        <v>67</v>
      </c>
      <c r="D29" s="5" t="s">
        <v>69</v>
      </c>
      <c r="E29" s="6" t="n">
        <v>0</v>
      </c>
      <c r="F29" s="6" t="n">
        <v>11800000</v>
      </c>
      <c r="G29" s="6" t="n">
        <v>12000000</v>
      </c>
      <c r="H29" s="7" t="n">
        <f aca="false">E29-F29</f>
        <v>-11800000</v>
      </c>
      <c r="I29" s="7" t="n">
        <f aca="false">E29-G29</f>
        <v>-12000000</v>
      </c>
      <c r="J29" s="8" t="n">
        <f aca="false">IFERROR((E29-G29)/G29,0)</f>
        <v>-1</v>
      </c>
    </row>
    <row r="30" customFormat="false" ht="15" hidden="false" customHeight="false" outlineLevel="0" collapsed="false">
      <c r="A30" s="5" t="s">
        <v>117</v>
      </c>
      <c r="B30" s="5" t="s">
        <v>116</v>
      </c>
      <c r="C30" s="5" t="s">
        <v>67</v>
      </c>
      <c r="D30" s="5" t="s">
        <v>70</v>
      </c>
      <c r="E30" s="6" t="n">
        <v>8700000</v>
      </c>
      <c r="F30" s="6" t="n">
        <v>8500000</v>
      </c>
      <c r="G30" s="6" t="n">
        <v>8600000</v>
      </c>
      <c r="H30" s="7" t="n">
        <f aca="false">E30-F30</f>
        <v>200000</v>
      </c>
      <c r="I30" s="7" t="n">
        <f aca="false">E30-G30</f>
        <v>100000</v>
      </c>
      <c r="J30" s="8" t="n">
        <f aca="false">IFERROR((E30-G30)/G30,0)</f>
        <v>0.0116279069767442</v>
      </c>
    </row>
    <row r="31" customFormat="false" ht="15" hidden="false" customHeight="false" outlineLevel="0" collapsed="false">
      <c r="A31" s="5" t="s">
        <v>118</v>
      </c>
      <c r="B31" s="5" t="s">
        <v>119</v>
      </c>
      <c r="C31" s="5" t="s">
        <v>67</v>
      </c>
      <c r="D31" s="5" t="s">
        <v>68</v>
      </c>
      <c r="E31" s="6" t="n">
        <v>750000000</v>
      </c>
      <c r="F31" s="6" t="n">
        <v>750000000</v>
      </c>
      <c r="G31" s="6" t="n">
        <v>750000000</v>
      </c>
      <c r="H31" s="7" t="n">
        <f aca="false">E31-F31</f>
        <v>0</v>
      </c>
      <c r="I31" s="7" t="n">
        <f aca="false">E31-G31</f>
        <v>0</v>
      </c>
      <c r="J31" s="8" t="n">
        <f aca="false">IFERROR((E31-G31)/G31,0)</f>
        <v>0</v>
      </c>
    </row>
    <row r="32" customFormat="false" ht="15" hidden="false" customHeight="false" outlineLevel="0" collapsed="false">
      <c r="A32" s="5" t="s">
        <v>120</v>
      </c>
      <c r="B32" s="5" t="s">
        <v>121</v>
      </c>
      <c r="C32" s="5" t="s">
        <v>67</v>
      </c>
      <c r="D32" s="5" t="s">
        <v>68</v>
      </c>
      <c r="E32" s="6" t="n">
        <v>42000000</v>
      </c>
      <c r="F32" s="6" t="n">
        <v>41500000</v>
      </c>
      <c r="G32" s="6" t="n">
        <v>42000000</v>
      </c>
      <c r="H32" s="7" t="n">
        <f aca="false">E32-F32</f>
        <v>500000</v>
      </c>
      <c r="I32" s="7" t="n">
        <f aca="false">E32-G32</f>
        <v>0</v>
      </c>
      <c r="J32" s="8" t="n">
        <f aca="false">IFERROR((E32-G32)/G32,0)</f>
        <v>0</v>
      </c>
    </row>
    <row r="33" customFormat="false" ht="15" hidden="false" customHeight="false" outlineLevel="0" collapsed="false">
      <c r="A33" s="5" t="s">
        <v>122</v>
      </c>
      <c r="B33" s="5" t="s">
        <v>123</v>
      </c>
      <c r="C33" s="5" t="s">
        <v>67</v>
      </c>
      <c r="D33" s="5" t="s">
        <v>68</v>
      </c>
      <c r="E33" s="6" t="n">
        <v>1000000</v>
      </c>
      <c r="F33" s="6" t="n">
        <v>1000000</v>
      </c>
      <c r="G33" s="6" t="n">
        <v>1000000</v>
      </c>
      <c r="H33" s="7" t="n">
        <f aca="false">E33-F33</f>
        <v>0</v>
      </c>
      <c r="I33" s="7" t="n">
        <f aca="false">E33-G33</f>
        <v>0</v>
      </c>
      <c r="J33" s="8" t="n">
        <f aca="false">IFERROR((E33-G33)/G33,0)</f>
        <v>0</v>
      </c>
    </row>
    <row r="34" customFormat="false" ht="15" hidden="false" customHeight="false" outlineLevel="0" collapsed="false">
      <c r="A34" s="5" t="s">
        <v>124</v>
      </c>
      <c r="B34" s="5" t="s">
        <v>125</v>
      </c>
      <c r="C34" s="5" t="s">
        <v>67</v>
      </c>
      <c r="D34" s="5" t="s">
        <v>68</v>
      </c>
      <c r="E34" s="6" t="n">
        <v>1850000000</v>
      </c>
      <c r="F34" s="6" t="n">
        <v>1850000000</v>
      </c>
      <c r="G34" s="6" t="n">
        <v>1850000000</v>
      </c>
      <c r="H34" s="7" t="n">
        <f aca="false">E34-F34</f>
        <v>0</v>
      </c>
      <c r="I34" s="7" t="n">
        <f aca="false">E34-G34</f>
        <v>0</v>
      </c>
      <c r="J34" s="8" t="n">
        <f aca="false">IFERROR((E34-G34)/G34,0)</f>
        <v>0</v>
      </c>
    </row>
    <row r="35" customFormat="false" ht="15" hidden="false" customHeight="false" outlineLevel="0" collapsed="false">
      <c r="A35" s="5" t="s">
        <v>126</v>
      </c>
      <c r="B35" s="5" t="s">
        <v>127</v>
      </c>
      <c r="C35" s="5" t="s">
        <v>67</v>
      </c>
      <c r="D35" s="5" t="s">
        <v>68</v>
      </c>
      <c r="E35" s="6" t="n">
        <v>425000000</v>
      </c>
      <c r="F35" s="6" t="n">
        <v>425000000</v>
      </c>
      <c r="G35" s="6" t="n">
        <v>425000000</v>
      </c>
      <c r="H35" s="7" t="n">
        <f aca="false">E35-F35</f>
        <v>0</v>
      </c>
      <c r="I35" s="7" t="n">
        <f aca="false">E35-G35</f>
        <v>0</v>
      </c>
      <c r="J35" s="8" t="n">
        <f aca="false">IFERROR((E35-G35)/G35,0)</f>
        <v>0</v>
      </c>
    </row>
    <row r="36" customFormat="false" ht="15" hidden="false" customHeight="false" outlineLevel="0" collapsed="false">
      <c r="A36" s="5" t="s">
        <v>128</v>
      </c>
      <c r="B36" s="5" t="s">
        <v>129</v>
      </c>
      <c r="C36" s="5" t="s">
        <v>130</v>
      </c>
      <c r="D36" s="5" t="s">
        <v>68</v>
      </c>
      <c r="E36" s="6" t="n">
        <v>74200000</v>
      </c>
      <c r="F36" s="6" t="n">
        <v>73500000</v>
      </c>
      <c r="G36" s="6" t="n">
        <v>72500000</v>
      </c>
      <c r="H36" s="7" t="n">
        <f aca="false">E36-F36</f>
        <v>700000</v>
      </c>
      <c r="I36" s="7" t="n">
        <f aca="false">E36-G36</f>
        <v>1700000</v>
      </c>
      <c r="J36" s="8" t="n">
        <f aca="false">IFERROR((E36-G36)/G36,0)</f>
        <v>0.023448275862069</v>
      </c>
    </row>
    <row r="37" customFormat="false" ht="15" hidden="false" customHeight="false" outlineLevel="0" collapsed="false">
      <c r="A37" s="5" t="s">
        <v>128</v>
      </c>
      <c r="B37" s="5" t="s">
        <v>129</v>
      </c>
      <c r="C37" s="5" t="s">
        <v>130</v>
      </c>
      <c r="D37" s="5" t="s">
        <v>69</v>
      </c>
      <c r="E37" s="6" t="n">
        <v>22800000</v>
      </c>
      <c r="F37" s="6" t="n">
        <v>22100000</v>
      </c>
      <c r="G37" s="6" t="n">
        <v>22000000</v>
      </c>
      <c r="H37" s="7" t="n">
        <f aca="false">E37-F37</f>
        <v>700000</v>
      </c>
      <c r="I37" s="7" t="n">
        <f aca="false">E37-G37</f>
        <v>800000</v>
      </c>
      <c r="J37" s="8" t="n">
        <f aca="false">IFERROR((E37-G37)/G37,0)</f>
        <v>0.0363636363636364</v>
      </c>
    </row>
    <row r="38" customFormat="false" ht="15" hidden="false" customHeight="false" outlineLevel="0" collapsed="false">
      <c r="A38" s="5" t="s">
        <v>128</v>
      </c>
      <c r="B38" s="5" t="s">
        <v>129</v>
      </c>
      <c r="C38" s="5" t="s">
        <v>130</v>
      </c>
      <c r="D38" s="5" t="s">
        <v>70</v>
      </c>
      <c r="E38" s="6" t="n">
        <v>9000000</v>
      </c>
      <c r="F38" s="6" t="n">
        <v>8800000</v>
      </c>
      <c r="G38" s="6" t="n">
        <v>9500000</v>
      </c>
      <c r="H38" s="7" t="n">
        <f aca="false">E38-F38</f>
        <v>200000</v>
      </c>
      <c r="I38" s="7" t="n">
        <f aca="false">E38-G38</f>
        <v>-500000</v>
      </c>
      <c r="J38" s="8" t="n">
        <f aca="false">IFERROR((E38-G38)/G38,0)</f>
        <v>-0.0526315789473684</v>
      </c>
    </row>
    <row r="39" customFormat="false" ht="15" hidden="false" customHeight="false" outlineLevel="0" collapsed="false">
      <c r="A39" s="5" t="s">
        <v>131</v>
      </c>
      <c r="B39" s="5" t="s">
        <v>132</v>
      </c>
      <c r="C39" s="5" t="s">
        <v>130</v>
      </c>
      <c r="D39" s="5" t="s">
        <v>68</v>
      </c>
      <c r="E39" s="6" t="n">
        <v>32500000</v>
      </c>
      <c r="F39" s="6" t="n">
        <v>28200000</v>
      </c>
      <c r="G39" s="6" t="n">
        <v>31000000</v>
      </c>
      <c r="H39" s="7" t="n">
        <f aca="false">E39-F39</f>
        <v>4300000</v>
      </c>
      <c r="I39" s="7" t="n">
        <f aca="false">E39-G39</f>
        <v>1500000</v>
      </c>
      <c r="J39" s="8" t="n">
        <f aca="false">IFERROR((E39-G39)/G39,0)</f>
        <v>0.0483870967741936</v>
      </c>
    </row>
    <row r="40" customFormat="false" ht="15" hidden="false" customHeight="false" outlineLevel="0" collapsed="false">
      <c r="A40" s="5" t="s">
        <v>131</v>
      </c>
      <c r="B40" s="5" t="s">
        <v>132</v>
      </c>
      <c r="C40" s="5" t="s">
        <v>130</v>
      </c>
      <c r="D40" s="5" t="s">
        <v>69</v>
      </c>
      <c r="E40" s="6" t="n">
        <v>8200000</v>
      </c>
      <c r="F40" s="6" t="n">
        <v>7400000</v>
      </c>
      <c r="G40" s="6" t="n">
        <v>8000000</v>
      </c>
      <c r="H40" s="7" t="n">
        <f aca="false">E40-F40</f>
        <v>800000</v>
      </c>
      <c r="I40" s="7" t="n">
        <f aca="false">E40-G40</f>
        <v>200000</v>
      </c>
      <c r="J40" s="8" t="n">
        <f aca="false">IFERROR((E40-G40)/G40,0)</f>
        <v>0.025</v>
      </c>
    </row>
    <row r="41" customFormat="false" ht="15" hidden="false" customHeight="false" outlineLevel="0" collapsed="false">
      <c r="A41" s="5" t="s">
        <v>131</v>
      </c>
      <c r="B41" s="5" t="s">
        <v>132</v>
      </c>
      <c r="C41" s="5" t="s">
        <v>130</v>
      </c>
      <c r="D41" s="5" t="s">
        <v>70</v>
      </c>
      <c r="E41" s="6" t="n">
        <v>3300000</v>
      </c>
      <c r="F41" s="6" t="n">
        <v>3000000</v>
      </c>
      <c r="G41" s="6" t="n">
        <v>4000000</v>
      </c>
      <c r="H41" s="7" t="n">
        <f aca="false">E41-F41</f>
        <v>300000</v>
      </c>
      <c r="I41" s="7" t="n">
        <f aca="false">E41-G41</f>
        <v>-700000</v>
      </c>
      <c r="J41" s="8" t="n">
        <f aca="false">IFERROR((E41-G41)/G41,0)</f>
        <v>-0.175</v>
      </c>
    </row>
    <row r="42" customFormat="false" ht="15" hidden="false" customHeight="false" outlineLevel="0" collapsed="false">
      <c r="A42" s="5" t="s">
        <v>133</v>
      </c>
      <c r="B42" s="5" t="s">
        <v>134</v>
      </c>
      <c r="C42" s="5" t="s">
        <v>130</v>
      </c>
      <c r="D42" s="5" t="s">
        <v>68</v>
      </c>
      <c r="E42" s="6" t="n">
        <v>2000000</v>
      </c>
      <c r="F42" s="6" t="n">
        <v>1900000</v>
      </c>
      <c r="G42" s="6" t="n">
        <v>2000000</v>
      </c>
      <c r="H42" s="7" t="n">
        <f aca="false">E42-F42</f>
        <v>100000</v>
      </c>
      <c r="I42" s="7" t="n">
        <f aca="false">E42-G42</f>
        <v>0</v>
      </c>
      <c r="J42" s="8" t="n">
        <f aca="false">IFERROR((E42-G42)/G42,0)</f>
        <v>0</v>
      </c>
    </row>
    <row r="43" customFormat="false" ht="15" hidden="false" customHeight="false" outlineLevel="0" collapsed="false">
      <c r="A43" s="5" t="s">
        <v>135</v>
      </c>
      <c r="B43" s="5" t="s">
        <v>136</v>
      </c>
      <c r="C43" s="5" t="s">
        <v>130</v>
      </c>
      <c r="D43" s="5" t="s">
        <v>68</v>
      </c>
      <c r="E43" s="6" t="n">
        <v>32500000</v>
      </c>
      <c r="F43" s="6" t="n">
        <v>31800000</v>
      </c>
      <c r="G43" s="6" t="n">
        <v>32000000</v>
      </c>
      <c r="H43" s="7" t="n">
        <f aca="false">E43-F43</f>
        <v>700000</v>
      </c>
      <c r="I43" s="7" t="n">
        <f aca="false">E43-G43</f>
        <v>500000</v>
      </c>
      <c r="J43" s="8" t="n">
        <f aca="false">IFERROR((E43-G43)/G43,0)</f>
        <v>0.015625</v>
      </c>
    </row>
    <row r="44" customFormat="false" ht="15" hidden="false" customHeight="false" outlineLevel="0" collapsed="false">
      <c r="A44" s="5" t="s">
        <v>137</v>
      </c>
      <c r="B44" s="5" t="s">
        <v>138</v>
      </c>
      <c r="C44" s="5" t="s">
        <v>130</v>
      </c>
      <c r="D44" s="5" t="s">
        <v>68</v>
      </c>
      <c r="E44" s="6" t="n">
        <v>9000000</v>
      </c>
      <c r="F44" s="6" t="n">
        <v>8400000</v>
      </c>
      <c r="G44" s="6" t="n">
        <v>8200000</v>
      </c>
      <c r="H44" s="7" t="n">
        <f aca="false">E44-F44</f>
        <v>600000</v>
      </c>
      <c r="I44" s="7" t="n">
        <f aca="false">E44-G44</f>
        <v>800000</v>
      </c>
      <c r="J44" s="8" t="n">
        <f aca="false">IFERROR((E44-G44)/G44,0)</f>
        <v>0.0975609756097561</v>
      </c>
    </row>
    <row r="45" customFormat="false" ht="15" hidden="false" customHeight="false" outlineLevel="0" collapsed="false">
      <c r="A45" s="5" t="s">
        <v>139</v>
      </c>
      <c r="B45" s="5" t="s">
        <v>140</v>
      </c>
      <c r="C45" s="5" t="s">
        <v>130</v>
      </c>
      <c r="D45" s="5" t="s">
        <v>68</v>
      </c>
      <c r="E45" s="6" t="n">
        <v>3500000</v>
      </c>
      <c r="F45" s="6" t="n">
        <v>3400000</v>
      </c>
      <c r="G45" s="6" t="n">
        <v>3500000</v>
      </c>
      <c r="H45" s="7" t="n">
        <f aca="false">E45-F45</f>
        <v>100000</v>
      </c>
      <c r="I45" s="7" t="n">
        <f aca="false">E45-G45</f>
        <v>0</v>
      </c>
      <c r="J45" s="8" t="n">
        <f aca="false">IFERROR((E45-G45)/G45,0)</f>
        <v>0</v>
      </c>
    </row>
    <row r="46" customFormat="false" ht="15" hidden="false" customHeight="false" outlineLevel="0" collapsed="false">
      <c r="A46" s="5" t="s">
        <v>141</v>
      </c>
      <c r="B46" s="5" t="s">
        <v>142</v>
      </c>
      <c r="C46" s="5" t="s">
        <v>130</v>
      </c>
      <c r="D46" s="5" t="s">
        <v>68</v>
      </c>
      <c r="E46" s="6" t="n">
        <v>1100000</v>
      </c>
      <c r="F46" s="6" t="n">
        <v>1050000</v>
      </c>
      <c r="G46" s="6" t="n">
        <v>1100000</v>
      </c>
      <c r="H46" s="7" t="n">
        <f aca="false">E46-F46</f>
        <v>50000</v>
      </c>
      <c r="I46" s="7" t="n">
        <f aca="false">E46-G46</f>
        <v>0</v>
      </c>
      <c r="J46" s="8" t="n">
        <f aca="false">IFERROR((E46-G46)/G46,0)</f>
        <v>0</v>
      </c>
    </row>
    <row r="47" customFormat="false" ht="15" hidden="false" customHeight="false" outlineLevel="0" collapsed="false">
      <c r="A47" s="5" t="s">
        <v>143</v>
      </c>
      <c r="B47" s="5" t="s">
        <v>144</v>
      </c>
      <c r="C47" s="5" t="s">
        <v>130</v>
      </c>
      <c r="D47" s="5" t="s">
        <v>68</v>
      </c>
      <c r="E47" s="6" t="n">
        <v>18000000</v>
      </c>
      <c r="F47" s="6" t="n">
        <v>14500000</v>
      </c>
      <c r="G47" s="6" t="n">
        <v>15000000</v>
      </c>
      <c r="H47" s="7" t="n">
        <f aca="false">E47-F47</f>
        <v>3500000</v>
      </c>
      <c r="I47" s="7" t="n">
        <f aca="false">E47-G47</f>
        <v>3000000</v>
      </c>
      <c r="J47" s="8" t="n">
        <f aca="false">IFERROR((E47-G47)/G47,0)</f>
        <v>0.2</v>
      </c>
    </row>
    <row r="48" customFormat="false" ht="15" hidden="false" customHeight="false" outlineLevel="0" collapsed="false">
      <c r="A48" s="5" t="s">
        <v>145</v>
      </c>
      <c r="B48" s="5" t="s">
        <v>146</v>
      </c>
      <c r="C48" s="5" t="s">
        <v>130</v>
      </c>
      <c r="D48" s="5" t="s">
        <v>68</v>
      </c>
      <c r="E48" s="6" t="n">
        <v>7000000</v>
      </c>
      <c r="F48" s="6" t="n">
        <v>6800000</v>
      </c>
      <c r="G48" s="6" t="n">
        <v>7000000</v>
      </c>
      <c r="H48" s="7" t="n">
        <f aca="false">E48-F48</f>
        <v>200000</v>
      </c>
      <c r="I48" s="7" t="n">
        <f aca="false">E48-G48</f>
        <v>0</v>
      </c>
      <c r="J48" s="8" t="n">
        <f aca="false">IFERROR((E48-G48)/G48,0)</f>
        <v>0</v>
      </c>
    </row>
    <row r="49" customFormat="false" ht="15" hidden="false" customHeight="false" outlineLevel="0" collapsed="false">
      <c r="A49" s="5" t="s">
        <v>147</v>
      </c>
      <c r="B49" s="5" t="s">
        <v>148</v>
      </c>
      <c r="C49" s="5" t="s">
        <v>130</v>
      </c>
      <c r="D49" s="5" t="s">
        <v>68</v>
      </c>
      <c r="E49" s="6" t="n">
        <v>3500000</v>
      </c>
      <c r="F49" s="6" t="n">
        <v>3200000</v>
      </c>
      <c r="G49" s="6" t="n">
        <v>3400000</v>
      </c>
      <c r="H49" s="7" t="n">
        <f aca="false">E49-F49</f>
        <v>300000</v>
      </c>
      <c r="I49" s="7" t="n">
        <f aca="false">E49-G49</f>
        <v>100000</v>
      </c>
      <c r="J49" s="8" t="n">
        <f aca="false">IFERROR((E49-G49)/G49,0)</f>
        <v>0.0294117647058824</v>
      </c>
    </row>
    <row r="50" customFormat="false" ht="15" hidden="false" customHeight="false" outlineLevel="0" collapsed="false">
      <c r="A50" s="5" t="s">
        <v>149</v>
      </c>
      <c r="B50" s="5" t="s">
        <v>150</v>
      </c>
      <c r="C50" s="5" t="s">
        <v>130</v>
      </c>
      <c r="D50" s="5" t="s">
        <v>68</v>
      </c>
      <c r="E50" s="6" t="n">
        <v>14000000</v>
      </c>
      <c r="F50" s="6" t="n">
        <v>14100000</v>
      </c>
      <c r="G50" s="6" t="n">
        <v>14500000</v>
      </c>
      <c r="H50" s="7" t="n">
        <f aca="false">E50-F50</f>
        <v>-100000</v>
      </c>
      <c r="I50" s="7" t="n">
        <f aca="false">E50-G50</f>
        <v>-500000</v>
      </c>
      <c r="J50" s="8" t="n">
        <f aca="false">IFERROR((E50-G50)/G50,0)</f>
        <v>-0.0344827586206897</v>
      </c>
    </row>
    <row r="51" customFormat="false" ht="15" hidden="false" customHeight="false" outlineLevel="0" collapsed="false">
      <c r="A51" s="5" t="s">
        <v>151</v>
      </c>
      <c r="B51" s="5" t="s">
        <v>152</v>
      </c>
      <c r="C51" s="5" t="s">
        <v>130</v>
      </c>
      <c r="D51" s="5" t="s">
        <v>68</v>
      </c>
      <c r="E51" s="6" t="n">
        <v>7500000</v>
      </c>
      <c r="F51" s="6" t="n">
        <v>7400000</v>
      </c>
      <c r="G51" s="6" t="n">
        <v>7500000</v>
      </c>
      <c r="H51" s="7" t="n">
        <f aca="false">E51-F51</f>
        <v>100000</v>
      </c>
      <c r="I51" s="7" t="n">
        <f aca="false">E51-G51</f>
        <v>0</v>
      </c>
      <c r="J51" s="8" t="n">
        <f aca="false">IFERROR((E51-G51)/G51,0)</f>
        <v>0</v>
      </c>
    </row>
    <row r="52" customFormat="false" ht="15" hidden="false" customHeight="false" outlineLevel="0" collapsed="false">
      <c r="A52" s="5" t="s">
        <v>153</v>
      </c>
      <c r="B52" s="5" t="s">
        <v>154</v>
      </c>
      <c r="C52" s="5" t="s">
        <v>130</v>
      </c>
      <c r="D52" s="5" t="s">
        <v>68</v>
      </c>
      <c r="E52" s="6" t="n">
        <v>5000000</v>
      </c>
      <c r="F52" s="6" t="n">
        <v>4900000</v>
      </c>
      <c r="G52" s="6" t="n">
        <v>5000000</v>
      </c>
      <c r="H52" s="7" t="n">
        <f aca="false">E52-F52</f>
        <v>100000</v>
      </c>
      <c r="I52" s="7" t="n">
        <f aca="false">E52-G52</f>
        <v>0</v>
      </c>
      <c r="J52" s="8" t="n">
        <f aca="false">IFERROR((E52-G52)/G52,0)</f>
        <v>0</v>
      </c>
    </row>
    <row r="53" customFormat="false" ht="15" hidden="false" customHeight="false" outlineLevel="0" collapsed="false">
      <c r="A53" s="5" t="s">
        <v>155</v>
      </c>
      <c r="B53" s="5" t="s">
        <v>156</v>
      </c>
      <c r="C53" s="5" t="s">
        <v>130</v>
      </c>
      <c r="D53" s="5" t="s">
        <v>68</v>
      </c>
      <c r="E53" s="6" t="n">
        <v>1200000</v>
      </c>
      <c r="F53" s="6" t="n">
        <v>1100000</v>
      </c>
      <c r="G53" s="6" t="n">
        <v>1000000</v>
      </c>
      <c r="H53" s="7" t="n">
        <f aca="false">E53-F53</f>
        <v>100000</v>
      </c>
      <c r="I53" s="7" t="n">
        <f aca="false">E53-G53</f>
        <v>200000</v>
      </c>
      <c r="J53" s="8" t="n">
        <f aca="false">IFERROR((E53-G53)/G53,0)</f>
        <v>0.2</v>
      </c>
    </row>
    <row r="54" customFormat="false" ht="15" hidden="false" customHeight="false" outlineLevel="0" collapsed="false">
      <c r="A54" s="5" t="s">
        <v>157</v>
      </c>
      <c r="B54" s="5" t="s">
        <v>158</v>
      </c>
      <c r="C54" s="5" t="s">
        <v>130</v>
      </c>
      <c r="D54" s="5" t="s">
        <v>68</v>
      </c>
      <c r="E54" s="6" t="n">
        <v>800000</v>
      </c>
      <c r="F54" s="6" t="n">
        <v>750000</v>
      </c>
      <c r="G54" s="6" t="n">
        <v>900000</v>
      </c>
      <c r="H54" s="7" t="n">
        <f aca="false">E54-F54</f>
        <v>50000</v>
      </c>
      <c r="I54" s="7" t="n">
        <f aca="false">E54-G54</f>
        <v>-100000</v>
      </c>
      <c r="J54" s="8" t="n">
        <f aca="false">IFERROR((E54-G54)/G54,0)</f>
        <v>-0.111111111111111</v>
      </c>
    </row>
    <row r="55" customFormat="false" ht="15" hidden="false" customHeight="false" outlineLevel="0" collapsed="false">
      <c r="A55" s="5" t="s">
        <v>159</v>
      </c>
      <c r="B55" s="5" t="s">
        <v>160</v>
      </c>
      <c r="C55" s="5" t="s">
        <v>130</v>
      </c>
      <c r="D55" s="5" t="s">
        <v>68</v>
      </c>
      <c r="E55" s="6" t="n">
        <v>1500000</v>
      </c>
      <c r="F55" s="6" t="n">
        <v>1500000</v>
      </c>
      <c r="G55" s="6" t="n">
        <v>1500000</v>
      </c>
      <c r="H55" s="7" t="n">
        <f aca="false">E55-F55</f>
        <v>0</v>
      </c>
      <c r="I55" s="7" t="n">
        <f aca="false">E55-G55</f>
        <v>0</v>
      </c>
      <c r="J55" s="8" t="n">
        <f aca="false">IFERROR((E55-G55)/G55,0)</f>
        <v>0</v>
      </c>
    </row>
    <row r="56" customFormat="false" ht="15" hidden="false" customHeight="false" outlineLevel="0" collapsed="false">
      <c r="A56" s="5" t="s">
        <v>161</v>
      </c>
      <c r="B56" s="5" t="s">
        <v>162</v>
      </c>
      <c r="C56" s="5" t="s">
        <v>130</v>
      </c>
      <c r="D56" s="5" t="s">
        <v>68</v>
      </c>
      <c r="E56" s="6" t="n">
        <v>1500000</v>
      </c>
      <c r="F56" s="6" t="n">
        <v>1450000</v>
      </c>
      <c r="G56" s="6" t="n">
        <v>1500000</v>
      </c>
      <c r="H56" s="7" t="n">
        <f aca="false">E56-F56</f>
        <v>50000</v>
      </c>
      <c r="I56" s="7" t="n">
        <f aca="false">E56-G56</f>
        <v>0</v>
      </c>
      <c r="J56" s="8" t="n">
        <f aca="false">IFERROR((E56-G56)/G56,0)</f>
        <v>0</v>
      </c>
    </row>
    <row r="57" customFormat="false" ht="15" hidden="false" customHeight="false" outlineLevel="0" collapsed="false">
      <c r="A57" s="5" t="s">
        <v>163</v>
      </c>
      <c r="B57" s="5" t="s">
        <v>164</v>
      </c>
      <c r="C57" s="5" t="s">
        <v>130</v>
      </c>
      <c r="D57" s="5" t="s">
        <v>68</v>
      </c>
      <c r="E57" s="6" t="n">
        <v>-800000</v>
      </c>
      <c r="F57" s="6" t="n">
        <v>-750000</v>
      </c>
      <c r="G57" s="6" t="n">
        <v>-750000</v>
      </c>
      <c r="H57" s="7" t="n">
        <f aca="false">E57-F57</f>
        <v>-50000</v>
      </c>
      <c r="I57" s="7" t="n">
        <f aca="false">E57-G57</f>
        <v>-50000</v>
      </c>
      <c r="J57" s="8" t="n">
        <f aca="false">IFERROR((E57-G57)/G57,0)</f>
        <v>0.0666666666666667</v>
      </c>
    </row>
    <row r="58" customFormat="false" ht="15" hidden="false" customHeight="false" outlineLevel="0" collapsed="false">
      <c r="A58" s="5" t="s">
        <v>165</v>
      </c>
      <c r="B58" s="5" t="s">
        <v>166</v>
      </c>
      <c r="C58" s="5" t="s">
        <v>130</v>
      </c>
      <c r="D58" s="5" t="s">
        <v>68</v>
      </c>
      <c r="E58" s="6" t="n">
        <v>3200000</v>
      </c>
      <c r="F58" s="6" t="n">
        <v>3200000</v>
      </c>
      <c r="G58" s="6" t="n">
        <v>3200000</v>
      </c>
      <c r="H58" s="7" t="n">
        <f aca="false">E58-F58</f>
        <v>0</v>
      </c>
      <c r="I58" s="7" t="n">
        <f aca="false">E58-G58</f>
        <v>0</v>
      </c>
      <c r="J58" s="8" t="n">
        <f aca="false">IFERROR((E58-G58)/G58,0)</f>
        <v>0</v>
      </c>
    </row>
    <row r="59" customFormat="false" ht="15" hidden="false" customHeight="false" outlineLevel="0" collapsed="false">
      <c r="A59" s="5" t="s">
        <v>167</v>
      </c>
      <c r="B59" s="5" t="s">
        <v>168</v>
      </c>
      <c r="C59" s="5" t="s">
        <v>130</v>
      </c>
      <c r="D59" s="5" t="s">
        <v>68</v>
      </c>
      <c r="E59" s="6" t="n">
        <v>450000</v>
      </c>
      <c r="F59" s="6" t="n">
        <v>-200000</v>
      </c>
      <c r="G59" s="6" t="n">
        <v>0</v>
      </c>
      <c r="H59" s="7" t="n">
        <f aca="false">E59-F59</f>
        <v>650000</v>
      </c>
      <c r="I59" s="7" t="n">
        <f aca="false">E59-G59</f>
        <v>450000</v>
      </c>
      <c r="J59" s="8" t="n">
        <f aca="false">IFERROR((E59-G59)/G59,0)</f>
        <v>0</v>
      </c>
    </row>
    <row r="60" customFormat="false" ht="15" hidden="false" customHeight="false" outlineLevel="0" collapsed="false">
      <c r="A60" s="5" t="s">
        <v>169</v>
      </c>
      <c r="B60" s="5" t="s">
        <v>170</v>
      </c>
      <c r="C60" s="5" t="s">
        <v>130</v>
      </c>
      <c r="D60" s="5" t="s">
        <v>68</v>
      </c>
      <c r="E60" s="6" t="n">
        <v>6800000</v>
      </c>
      <c r="F60" s="6" t="n">
        <v>6500000</v>
      </c>
      <c r="G60" s="6" t="n">
        <v>7000000</v>
      </c>
      <c r="H60" s="7" t="n">
        <f aca="false">E60-F60</f>
        <v>300000</v>
      </c>
      <c r="I60" s="7" t="n">
        <f aca="false">E60-G60</f>
        <v>-200000</v>
      </c>
      <c r="J60" s="8" t="n">
        <f aca="false">IFERROR((E60-G60)/G60,0)</f>
        <v>-0.0285714285714286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12" min="8" style="0" width="14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4" t="s">
        <v>171</v>
      </c>
      <c r="B1" s="4" t="s">
        <v>172</v>
      </c>
      <c r="C1" s="4" t="s">
        <v>173</v>
      </c>
      <c r="D1" s="4" t="s">
        <v>58</v>
      </c>
      <c r="E1" s="4" t="s">
        <v>174</v>
      </c>
      <c r="F1" s="4" t="s">
        <v>175</v>
      </c>
      <c r="G1" s="4" t="s">
        <v>176</v>
      </c>
      <c r="H1" s="4" t="s">
        <v>177</v>
      </c>
      <c r="I1" s="4" t="s">
        <v>178</v>
      </c>
      <c r="J1" s="4" t="s">
        <v>179</v>
      </c>
      <c r="K1" s="4" t="s">
        <v>180</v>
      </c>
      <c r="L1" s="4" t="s">
        <v>181</v>
      </c>
      <c r="M1" s="4" t="s">
        <v>182</v>
      </c>
    </row>
    <row r="2" customFormat="false" ht="15" hidden="false" customHeight="false" outlineLevel="0" collapsed="false">
      <c r="A2" s="9" t="s">
        <v>183</v>
      </c>
      <c r="B2" s="9" t="s">
        <v>184</v>
      </c>
      <c r="C2" s="9" t="s">
        <v>185</v>
      </c>
      <c r="D2" s="9" t="s">
        <v>68</v>
      </c>
      <c r="E2" s="10" t="n">
        <v>46218</v>
      </c>
      <c r="F2" s="10" t="n">
        <v>46248</v>
      </c>
      <c r="G2" s="11" t="n">
        <v>2300000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2300000</v>
      </c>
      <c r="M2" s="11" t="n">
        <f aca="false">SUM(H2:L2)</f>
        <v>2300000</v>
      </c>
    </row>
    <row r="3" customFormat="false" ht="15" hidden="false" customHeight="false" outlineLevel="0" collapsed="false">
      <c r="A3" s="5" t="s">
        <v>186</v>
      </c>
      <c r="B3" s="5" t="s">
        <v>187</v>
      </c>
      <c r="C3" s="5" t="s">
        <v>185</v>
      </c>
      <c r="D3" s="5" t="s">
        <v>68</v>
      </c>
      <c r="E3" s="12" t="n">
        <v>46331</v>
      </c>
      <c r="F3" s="12" t="n">
        <v>46361</v>
      </c>
      <c r="G3" s="6" t="n">
        <v>4500000</v>
      </c>
      <c r="H3" s="6" t="n">
        <v>4500000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f aca="false">SUM(H3:L3)</f>
        <v>4500000</v>
      </c>
    </row>
    <row r="4" customFormat="false" ht="15" hidden="false" customHeight="false" outlineLevel="0" collapsed="false">
      <c r="A4" s="5" t="s">
        <v>188</v>
      </c>
      <c r="B4" s="5" t="s">
        <v>189</v>
      </c>
      <c r="C4" s="5" t="s">
        <v>185</v>
      </c>
      <c r="D4" s="5" t="s">
        <v>68</v>
      </c>
      <c r="E4" s="12" t="n">
        <v>46307</v>
      </c>
      <c r="F4" s="12" t="n">
        <v>46337</v>
      </c>
      <c r="G4" s="6" t="n">
        <v>3200000</v>
      </c>
      <c r="H4" s="6" t="n">
        <v>0</v>
      </c>
      <c r="I4" s="6" t="n">
        <v>3200000</v>
      </c>
      <c r="J4" s="6" t="n">
        <v>0</v>
      </c>
      <c r="K4" s="6" t="n">
        <v>0</v>
      </c>
      <c r="L4" s="6" t="n">
        <v>0</v>
      </c>
      <c r="M4" s="6" t="n">
        <f aca="false">SUM(H4:L4)</f>
        <v>3200000</v>
      </c>
    </row>
    <row r="5" customFormat="false" ht="15" hidden="false" customHeight="false" outlineLevel="0" collapsed="false">
      <c r="A5" s="5" t="s">
        <v>190</v>
      </c>
      <c r="B5" s="5" t="s">
        <v>191</v>
      </c>
      <c r="C5" s="5" t="s">
        <v>185</v>
      </c>
      <c r="D5" s="5" t="s">
        <v>68</v>
      </c>
      <c r="E5" s="12" t="n">
        <v>46285</v>
      </c>
      <c r="F5" s="12" t="n">
        <v>46315</v>
      </c>
      <c r="G5" s="6" t="n">
        <v>1800000</v>
      </c>
      <c r="H5" s="6" t="n">
        <v>0</v>
      </c>
      <c r="I5" s="6" t="n">
        <v>0</v>
      </c>
      <c r="J5" s="6" t="n">
        <v>1800000</v>
      </c>
      <c r="K5" s="6" t="n">
        <v>0</v>
      </c>
      <c r="L5" s="6" t="n">
        <v>0</v>
      </c>
      <c r="M5" s="6" t="n">
        <f aca="false">SUM(H5:L5)</f>
        <v>1800000</v>
      </c>
    </row>
    <row r="6" customFormat="false" ht="15" hidden="false" customHeight="false" outlineLevel="0" collapsed="false">
      <c r="A6" s="5" t="s">
        <v>192</v>
      </c>
      <c r="B6" s="5" t="s">
        <v>193</v>
      </c>
      <c r="C6" s="5" t="s">
        <v>185</v>
      </c>
      <c r="D6" s="5" t="s">
        <v>69</v>
      </c>
      <c r="E6" s="12" t="n">
        <v>46327</v>
      </c>
      <c r="F6" s="12" t="n">
        <v>46357</v>
      </c>
      <c r="G6" s="6" t="n">
        <v>2900000</v>
      </c>
      <c r="H6" s="6" t="n">
        <v>2900000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f aca="false">SUM(H6:L6)</f>
        <v>2900000</v>
      </c>
    </row>
    <row r="7" customFormat="false" ht="15" hidden="false" customHeight="false" outlineLevel="0" collapsed="false">
      <c r="A7" s="5" t="s">
        <v>194</v>
      </c>
      <c r="B7" s="5" t="s">
        <v>195</v>
      </c>
      <c r="C7" s="5" t="s">
        <v>185</v>
      </c>
      <c r="D7" s="5" t="s">
        <v>68</v>
      </c>
      <c r="E7" s="12" t="n">
        <v>46262</v>
      </c>
      <c r="F7" s="12" t="n">
        <v>46292</v>
      </c>
      <c r="G7" s="6" t="n">
        <v>1200000</v>
      </c>
      <c r="H7" s="6" t="n">
        <v>0</v>
      </c>
      <c r="I7" s="6" t="n">
        <v>0</v>
      </c>
      <c r="J7" s="6" t="n">
        <v>0</v>
      </c>
      <c r="K7" s="6" t="n">
        <v>1200000</v>
      </c>
      <c r="L7" s="6" t="n">
        <v>0</v>
      </c>
      <c r="M7" s="6" t="n">
        <f aca="false">SUM(H7:L7)</f>
        <v>1200000</v>
      </c>
    </row>
    <row r="8" customFormat="false" ht="15" hidden="false" customHeight="false" outlineLevel="0" collapsed="false">
      <c r="A8" s="5" t="s">
        <v>196</v>
      </c>
      <c r="B8" s="5" t="s">
        <v>197</v>
      </c>
      <c r="C8" s="5" t="s">
        <v>185</v>
      </c>
      <c r="D8" s="5" t="s">
        <v>68</v>
      </c>
      <c r="E8" s="12" t="n">
        <v>46338</v>
      </c>
      <c r="F8" s="12" t="n">
        <v>46368</v>
      </c>
      <c r="G8" s="6" t="n">
        <v>3800000</v>
      </c>
      <c r="H8" s="6" t="n">
        <v>3800000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f aca="false">SUM(H8:L8)</f>
        <v>3800000</v>
      </c>
    </row>
    <row r="9" customFormat="false" ht="15" hidden="false" customHeight="false" outlineLevel="0" collapsed="false">
      <c r="A9" s="5" t="s">
        <v>198</v>
      </c>
      <c r="B9" s="5" t="s">
        <v>199</v>
      </c>
      <c r="C9" s="5" t="s">
        <v>185</v>
      </c>
      <c r="D9" s="5" t="s">
        <v>68</v>
      </c>
      <c r="E9" s="12" t="n">
        <v>46323</v>
      </c>
      <c r="F9" s="12" t="n">
        <v>46353</v>
      </c>
      <c r="G9" s="6" t="n">
        <v>2700000</v>
      </c>
      <c r="H9" s="6" t="n">
        <v>0</v>
      </c>
      <c r="I9" s="6" t="n">
        <v>2700000</v>
      </c>
      <c r="J9" s="6" t="n">
        <v>0</v>
      </c>
      <c r="K9" s="6" t="n">
        <v>0</v>
      </c>
      <c r="L9" s="6" t="n">
        <v>0</v>
      </c>
      <c r="M9" s="6" t="n">
        <f aca="false">SUM(H9:L9)</f>
        <v>2700000</v>
      </c>
    </row>
    <row r="10" customFormat="false" ht="15" hidden="false" customHeight="false" outlineLevel="0" collapsed="false">
      <c r="A10" s="5" t="s">
        <v>200</v>
      </c>
      <c r="B10" s="5" t="s">
        <v>201</v>
      </c>
      <c r="C10" s="5" t="s">
        <v>185</v>
      </c>
      <c r="D10" s="5" t="s">
        <v>68</v>
      </c>
      <c r="E10" s="12" t="n">
        <v>46344</v>
      </c>
      <c r="F10" s="12" t="n">
        <v>46374</v>
      </c>
      <c r="G10" s="6" t="n">
        <v>5100000</v>
      </c>
      <c r="H10" s="6" t="n">
        <v>5100000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f aca="false">SUM(H10:L10)</f>
        <v>5100000</v>
      </c>
    </row>
    <row r="11" customFormat="false" ht="15" hidden="false" customHeight="false" outlineLevel="0" collapsed="false">
      <c r="A11" s="5" t="s">
        <v>202</v>
      </c>
      <c r="B11" s="5" t="s">
        <v>203</v>
      </c>
      <c r="C11" s="5" t="s">
        <v>185</v>
      </c>
      <c r="D11" s="5" t="s">
        <v>68</v>
      </c>
      <c r="E11" s="12" t="n">
        <v>46275</v>
      </c>
      <c r="F11" s="12" t="n">
        <v>46305</v>
      </c>
      <c r="G11" s="6" t="n">
        <v>2100000</v>
      </c>
      <c r="H11" s="6" t="n">
        <v>0</v>
      </c>
      <c r="I11" s="6" t="n">
        <v>0</v>
      </c>
      <c r="J11" s="6" t="n">
        <v>2100000</v>
      </c>
      <c r="K11" s="6" t="n">
        <v>0</v>
      </c>
      <c r="L11" s="6" t="n">
        <v>0</v>
      </c>
      <c r="M11" s="6" t="n">
        <f aca="false">SUM(H11:L11)</f>
        <v>2100000</v>
      </c>
    </row>
    <row r="12" customFormat="false" ht="15" hidden="false" customHeight="false" outlineLevel="0" collapsed="false">
      <c r="A12" s="5" t="s">
        <v>204</v>
      </c>
      <c r="B12" s="5" t="s">
        <v>205</v>
      </c>
      <c r="C12" s="5" t="s">
        <v>206</v>
      </c>
      <c r="D12" s="5" t="s">
        <v>68</v>
      </c>
      <c r="E12" s="12" t="n">
        <v>46327</v>
      </c>
      <c r="F12" s="12" t="n">
        <v>46356</v>
      </c>
      <c r="G12" s="6" t="n">
        <v>48200000</v>
      </c>
      <c r="H12" s="6" t="n">
        <v>48200000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f aca="false">SUM(H12:L12)</f>
        <v>48200000</v>
      </c>
    </row>
    <row r="13" customFormat="false" ht="15" hidden="false" customHeight="false" outlineLevel="0" collapsed="false">
      <c r="A13" s="5" t="s">
        <v>207</v>
      </c>
      <c r="B13" s="5" t="s">
        <v>208</v>
      </c>
      <c r="C13" s="5" t="s">
        <v>206</v>
      </c>
      <c r="D13" s="5" t="s">
        <v>69</v>
      </c>
      <c r="E13" s="12" t="n">
        <v>46327</v>
      </c>
      <c r="F13" s="12" t="n">
        <v>46356</v>
      </c>
      <c r="G13" s="6" t="n">
        <v>18900000</v>
      </c>
      <c r="H13" s="6" t="n">
        <v>18900000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f aca="false">SUM(H13:L13)</f>
        <v>18900000</v>
      </c>
    </row>
    <row r="14" customFormat="false" ht="15" hidden="false" customHeight="false" outlineLevel="0" collapsed="false">
      <c r="A14" s="5" t="s">
        <v>209</v>
      </c>
      <c r="B14" s="5" t="s">
        <v>210</v>
      </c>
      <c r="C14" s="5" t="s">
        <v>206</v>
      </c>
      <c r="D14" s="5" t="s">
        <v>70</v>
      </c>
      <c r="E14" s="12" t="n">
        <v>46327</v>
      </c>
      <c r="F14" s="12" t="n">
        <v>46356</v>
      </c>
      <c r="G14" s="6" t="n">
        <v>9400000</v>
      </c>
      <c r="H14" s="6" t="n">
        <v>9400000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f aca="false">SUM(H14:L14)</f>
        <v>9400000</v>
      </c>
    </row>
    <row r="15" customFormat="false" ht="15" hidden="false" customHeight="false" outlineLevel="0" collapsed="false">
      <c r="A15" s="5" t="s">
        <v>211</v>
      </c>
      <c r="B15" s="5" t="s">
        <v>212</v>
      </c>
      <c r="C15" s="5" t="s">
        <v>213</v>
      </c>
      <c r="D15" s="5" t="s">
        <v>68</v>
      </c>
      <c r="E15" s="12" t="n">
        <v>46310</v>
      </c>
      <c r="F15" s="12" t="n">
        <v>46340</v>
      </c>
      <c r="G15" s="6" t="n">
        <v>2400000</v>
      </c>
      <c r="H15" s="6" t="n">
        <v>0</v>
      </c>
      <c r="I15" s="6" t="n">
        <v>2400000</v>
      </c>
      <c r="J15" s="6" t="n">
        <v>0</v>
      </c>
      <c r="K15" s="6" t="n">
        <v>0</v>
      </c>
      <c r="L15" s="6" t="n">
        <v>0</v>
      </c>
      <c r="M15" s="6" t="n">
        <f aca="false">SUM(H15:L15)</f>
        <v>2400000</v>
      </c>
    </row>
    <row r="16" customFormat="false" ht="15" hidden="false" customHeight="false" outlineLevel="0" collapsed="false">
      <c r="A16" s="13" t="s">
        <v>214</v>
      </c>
      <c r="G16" s="14" t="n">
        <f aca="false">SUM(G2:G15)</f>
        <v>108500000</v>
      </c>
      <c r="H16" s="14" t="n">
        <f aca="false">SUM(H2:H15)</f>
        <v>92800000</v>
      </c>
      <c r="I16" s="14" t="n">
        <f aca="false">SUM(I2:I15)</f>
        <v>8300000</v>
      </c>
      <c r="J16" s="14" t="n">
        <f aca="false">SUM(J2:J15)</f>
        <v>3900000</v>
      </c>
      <c r="K16" s="14" t="n">
        <f aca="false">SUM(K2:K15)</f>
        <v>1200000</v>
      </c>
      <c r="L16" s="14" t="n">
        <f aca="false">SUM(L2:L15)</f>
        <v>2300000</v>
      </c>
      <c r="M16" s="14" t="n">
        <f aca="false">SUM(M2:M15)</f>
        <v>108500000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12" min="8" style="0" width="14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4" t="s">
        <v>215</v>
      </c>
      <c r="B1" s="4" t="s">
        <v>216</v>
      </c>
      <c r="C1" s="4" t="s">
        <v>217</v>
      </c>
      <c r="D1" s="4" t="s">
        <v>58</v>
      </c>
      <c r="E1" s="4" t="s">
        <v>174</v>
      </c>
      <c r="F1" s="4" t="s">
        <v>175</v>
      </c>
      <c r="G1" s="4" t="s">
        <v>176</v>
      </c>
      <c r="H1" s="4" t="s">
        <v>177</v>
      </c>
      <c r="I1" s="4" t="s">
        <v>178</v>
      </c>
      <c r="J1" s="4" t="s">
        <v>179</v>
      </c>
      <c r="K1" s="4" t="s">
        <v>180</v>
      </c>
      <c r="L1" s="4" t="s">
        <v>181</v>
      </c>
      <c r="M1" s="4" t="s">
        <v>182</v>
      </c>
    </row>
    <row r="2" customFormat="false" ht="15" hidden="false" customHeight="false" outlineLevel="0" collapsed="false">
      <c r="A2" s="5" t="s">
        <v>218</v>
      </c>
      <c r="B2" s="5" t="s">
        <v>219</v>
      </c>
      <c r="C2" s="5" t="s">
        <v>220</v>
      </c>
      <c r="D2" s="5" t="s">
        <v>68</v>
      </c>
      <c r="E2" s="12" t="n">
        <v>46341</v>
      </c>
      <c r="F2" s="12" t="n">
        <v>46371</v>
      </c>
      <c r="G2" s="6" t="n">
        <v>28000000</v>
      </c>
      <c r="H2" s="6" t="n">
        <v>28000000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f aca="false">SUM(H2:L2)</f>
        <v>28000000</v>
      </c>
    </row>
    <row r="3" customFormat="false" ht="15" hidden="false" customHeight="false" outlineLevel="0" collapsed="false">
      <c r="A3" s="5" t="s">
        <v>221</v>
      </c>
      <c r="B3" s="5" t="s">
        <v>222</v>
      </c>
      <c r="C3" s="5" t="s">
        <v>220</v>
      </c>
      <c r="D3" s="5" t="s">
        <v>68</v>
      </c>
      <c r="E3" s="12" t="n">
        <v>46325</v>
      </c>
      <c r="F3" s="12" t="n">
        <v>46355</v>
      </c>
      <c r="G3" s="6" t="n">
        <v>22000000</v>
      </c>
      <c r="H3" s="6" t="n">
        <v>0</v>
      </c>
      <c r="I3" s="6" t="n">
        <v>22000000</v>
      </c>
      <c r="J3" s="6" t="n">
        <v>0</v>
      </c>
      <c r="K3" s="6" t="n">
        <v>0</v>
      </c>
      <c r="L3" s="6" t="n">
        <v>0</v>
      </c>
      <c r="M3" s="6" t="n">
        <f aca="false">SUM(H3:L3)</f>
        <v>22000000</v>
      </c>
    </row>
    <row r="4" customFormat="false" ht="15" hidden="false" customHeight="false" outlineLevel="0" collapsed="false">
      <c r="A4" s="5" t="s">
        <v>223</v>
      </c>
      <c r="B4" s="5" t="s">
        <v>224</v>
      </c>
      <c r="C4" s="5" t="s">
        <v>220</v>
      </c>
      <c r="D4" s="5" t="s">
        <v>68</v>
      </c>
      <c r="E4" s="12" t="n">
        <v>46346</v>
      </c>
      <c r="F4" s="12" t="n">
        <v>46376</v>
      </c>
      <c r="G4" s="6" t="n">
        <v>18500000</v>
      </c>
      <c r="H4" s="6" t="n">
        <v>18500000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f aca="false">SUM(H4:L4)</f>
        <v>18500000</v>
      </c>
    </row>
    <row r="5" customFormat="false" ht="15" hidden="false" customHeight="false" outlineLevel="0" collapsed="false">
      <c r="A5" s="5" t="s">
        <v>225</v>
      </c>
      <c r="B5" s="5" t="s">
        <v>226</v>
      </c>
      <c r="C5" s="5" t="s">
        <v>220</v>
      </c>
      <c r="D5" s="5" t="s">
        <v>68</v>
      </c>
      <c r="E5" s="12" t="n">
        <v>46334</v>
      </c>
      <c r="F5" s="12" t="n">
        <v>46364</v>
      </c>
      <c r="G5" s="6" t="n">
        <v>12200000</v>
      </c>
      <c r="H5" s="6" t="n">
        <v>12200000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f aca="false">SUM(H5:L5)</f>
        <v>12200000</v>
      </c>
    </row>
    <row r="6" customFormat="false" ht="15" hidden="false" customHeight="false" outlineLevel="0" collapsed="false">
      <c r="A6" s="5" t="s">
        <v>227</v>
      </c>
      <c r="B6" s="5" t="s">
        <v>228</v>
      </c>
      <c r="C6" s="5" t="s">
        <v>220</v>
      </c>
      <c r="D6" s="5" t="s">
        <v>68</v>
      </c>
      <c r="E6" s="12" t="n">
        <v>46317</v>
      </c>
      <c r="F6" s="12" t="n">
        <v>46347</v>
      </c>
      <c r="G6" s="6" t="n">
        <v>6500000</v>
      </c>
      <c r="H6" s="6" t="n">
        <v>0</v>
      </c>
      <c r="I6" s="6" t="n">
        <v>6500000</v>
      </c>
      <c r="J6" s="6" t="n">
        <v>0</v>
      </c>
      <c r="K6" s="6" t="n">
        <v>0</v>
      </c>
      <c r="L6" s="6" t="n">
        <v>0</v>
      </c>
      <c r="M6" s="6" t="n">
        <f aca="false">SUM(H6:L6)</f>
        <v>6500000</v>
      </c>
    </row>
    <row r="7" customFormat="false" ht="15" hidden="false" customHeight="false" outlineLevel="0" collapsed="false">
      <c r="A7" s="5" t="s">
        <v>229</v>
      </c>
      <c r="B7" s="5" t="s">
        <v>230</v>
      </c>
      <c r="C7" s="5" t="s">
        <v>231</v>
      </c>
      <c r="D7" s="5" t="s">
        <v>68</v>
      </c>
      <c r="E7" s="12" t="n">
        <v>46351</v>
      </c>
      <c r="F7" s="12" t="n">
        <v>46381</v>
      </c>
      <c r="G7" s="6" t="n">
        <v>5000000</v>
      </c>
      <c r="H7" s="6" t="n">
        <v>5000000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f aca="false">SUM(H7:L7)</f>
        <v>5000000</v>
      </c>
    </row>
    <row r="8" customFormat="false" ht="15" hidden="false" customHeight="false" outlineLevel="0" collapsed="false">
      <c r="A8" s="5" t="s">
        <v>232</v>
      </c>
      <c r="B8" s="5" t="s">
        <v>233</v>
      </c>
      <c r="C8" s="5" t="s">
        <v>231</v>
      </c>
      <c r="D8" s="5" t="s">
        <v>68</v>
      </c>
      <c r="E8" s="12" t="n">
        <v>46344</v>
      </c>
      <c r="F8" s="12" t="n">
        <v>46374</v>
      </c>
      <c r="G8" s="6" t="n">
        <v>4500000</v>
      </c>
      <c r="H8" s="6" t="n">
        <v>4500000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f aca="false">SUM(H8:L8)</f>
        <v>4500000</v>
      </c>
    </row>
    <row r="9" customFormat="false" ht="15" hidden="false" customHeight="false" outlineLevel="0" collapsed="false">
      <c r="A9" s="5" t="s">
        <v>234</v>
      </c>
      <c r="B9" s="5" t="s">
        <v>235</v>
      </c>
      <c r="C9" s="5" t="s">
        <v>236</v>
      </c>
      <c r="D9" s="5" t="s">
        <v>68</v>
      </c>
      <c r="E9" s="12" t="n">
        <v>46356</v>
      </c>
      <c r="F9" s="12" t="n">
        <v>46386</v>
      </c>
      <c r="G9" s="6" t="n">
        <v>8000000</v>
      </c>
      <c r="H9" s="6" t="n">
        <v>8000000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f aca="false">SUM(H9:L9)</f>
        <v>8000000</v>
      </c>
    </row>
    <row r="10" customFormat="false" ht="15" hidden="false" customHeight="false" outlineLevel="0" collapsed="false">
      <c r="A10" s="5" t="s">
        <v>237</v>
      </c>
      <c r="B10" s="5" t="s">
        <v>238</v>
      </c>
      <c r="C10" s="5" t="s">
        <v>236</v>
      </c>
      <c r="D10" s="5" t="s">
        <v>68</v>
      </c>
      <c r="E10" s="12" t="n">
        <v>46356</v>
      </c>
      <c r="F10" s="12" t="n">
        <v>46386</v>
      </c>
      <c r="G10" s="6" t="n">
        <v>7500000</v>
      </c>
      <c r="H10" s="6" t="n">
        <v>7500000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f aca="false">SUM(H10:L10)</f>
        <v>7500000</v>
      </c>
    </row>
    <row r="11" customFormat="false" ht="15" hidden="false" customHeight="false" outlineLevel="0" collapsed="false">
      <c r="A11" s="5" t="s">
        <v>239</v>
      </c>
      <c r="B11" s="5" t="s">
        <v>240</v>
      </c>
      <c r="C11" s="5" t="s">
        <v>236</v>
      </c>
      <c r="D11" s="5" t="s">
        <v>68</v>
      </c>
      <c r="E11" s="12" t="n">
        <v>46356</v>
      </c>
      <c r="F11" s="12" t="n">
        <v>46386</v>
      </c>
      <c r="G11" s="6" t="n">
        <v>2500000</v>
      </c>
      <c r="H11" s="6" t="n">
        <v>2500000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f aca="false">SUM(H11:L11)</f>
        <v>2500000</v>
      </c>
    </row>
    <row r="12" customFormat="false" ht="15" hidden="false" customHeight="false" outlineLevel="0" collapsed="false">
      <c r="A12" s="5" t="s">
        <v>241</v>
      </c>
      <c r="B12" s="5" t="s">
        <v>242</v>
      </c>
      <c r="C12" s="5" t="s">
        <v>243</v>
      </c>
      <c r="D12" s="5" t="s">
        <v>68</v>
      </c>
      <c r="E12" s="12" t="n">
        <v>46338</v>
      </c>
      <c r="F12" s="12" t="n">
        <v>46368</v>
      </c>
      <c r="G12" s="6" t="n">
        <v>800000</v>
      </c>
      <c r="H12" s="6" t="n">
        <v>800000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f aca="false">SUM(H12:L12)</f>
        <v>800000</v>
      </c>
    </row>
    <row r="13" customFormat="false" ht="15" hidden="false" customHeight="false" outlineLevel="0" collapsed="false">
      <c r="A13" s="5" t="s">
        <v>244</v>
      </c>
      <c r="B13" s="5" t="s">
        <v>245</v>
      </c>
      <c r="C13" s="5" t="s">
        <v>243</v>
      </c>
      <c r="D13" s="5" t="s">
        <v>68</v>
      </c>
      <c r="E13" s="12" t="n">
        <v>46331</v>
      </c>
      <c r="F13" s="12" t="n">
        <v>46361</v>
      </c>
      <c r="G13" s="6" t="n">
        <v>400000</v>
      </c>
      <c r="H13" s="6" t="n">
        <v>400000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f aca="false">SUM(H13:L13)</f>
        <v>400000</v>
      </c>
    </row>
    <row r="14" customFormat="false" ht="15" hidden="false" customHeight="false" outlineLevel="0" collapsed="false">
      <c r="A14" s="5" t="s">
        <v>246</v>
      </c>
      <c r="B14" s="5" t="s">
        <v>247</v>
      </c>
      <c r="C14" s="5" t="s">
        <v>248</v>
      </c>
      <c r="D14" s="5" t="s">
        <v>69</v>
      </c>
      <c r="E14" s="12" t="n">
        <v>46327</v>
      </c>
      <c r="F14" s="12" t="n">
        <v>46357</v>
      </c>
      <c r="G14" s="6" t="n">
        <v>18000000</v>
      </c>
      <c r="H14" s="6" t="n">
        <v>18000000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f aca="false">SUM(H14:L14)</f>
        <v>18000000</v>
      </c>
    </row>
    <row r="15" customFormat="false" ht="15" hidden="false" customHeight="false" outlineLevel="0" collapsed="false">
      <c r="A15" s="5" t="s">
        <v>249</v>
      </c>
      <c r="B15" s="5" t="s">
        <v>250</v>
      </c>
      <c r="C15" s="5" t="s">
        <v>248</v>
      </c>
      <c r="D15" s="5" t="s">
        <v>70</v>
      </c>
      <c r="E15" s="12" t="n">
        <v>46327</v>
      </c>
      <c r="F15" s="12" t="n">
        <v>46357</v>
      </c>
      <c r="G15" s="6" t="n">
        <v>9800000</v>
      </c>
      <c r="H15" s="6" t="n">
        <v>9800000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f aca="false">SUM(H15:L15)</f>
        <v>9800000</v>
      </c>
    </row>
    <row r="16" customFormat="false" ht="15" hidden="false" customHeight="false" outlineLevel="0" collapsed="false">
      <c r="A16" s="13" t="s">
        <v>214</v>
      </c>
      <c r="G16" s="14" t="n">
        <f aca="false">SUM(G2:G15)</f>
        <v>143700000</v>
      </c>
      <c r="H16" s="14" t="n">
        <f aca="false">SUM(H2:H15)</f>
        <v>115200000</v>
      </c>
      <c r="I16" s="14" t="n">
        <f aca="false">SUM(I2:I15)</f>
        <v>28500000</v>
      </c>
      <c r="J16" s="14" t="n">
        <f aca="false">SUM(J2:J15)</f>
        <v>0</v>
      </c>
      <c r="K16" s="14" t="n">
        <f aca="false">SUM(K2:K15)</f>
        <v>0</v>
      </c>
      <c r="L16" s="14" t="n">
        <f aca="false">SUM(L2:L15)</f>
        <v>0</v>
      </c>
      <c r="M16" s="14" t="n">
        <f aca="false">SUM(M2:M15)</f>
        <v>143700000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4" t="s">
        <v>251</v>
      </c>
      <c r="B1" s="4" t="s">
        <v>252</v>
      </c>
      <c r="C1" s="4" t="s">
        <v>217</v>
      </c>
      <c r="D1" s="4" t="s">
        <v>253</v>
      </c>
      <c r="E1" s="4" t="s">
        <v>254</v>
      </c>
      <c r="F1" s="4" t="s">
        <v>255</v>
      </c>
      <c r="G1" s="4" t="s">
        <v>256</v>
      </c>
      <c r="H1" s="4" t="s">
        <v>257</v>
      </c>
      <c r="I1" s="4" t="s">
        <v>258</v>
      </c>
      <c r="J1" s="4" t="s">
        <v>259</v>
      </c>
      <c r="K1" s="4" t="s">
        <v>260</v>
      </c>
      <c r="L1" s="4" t="s">
        <v>261</v>
      </c>
    </row>
    <row r="2" customFormat="false" ht="15" hidden="false" customHeight="false" outlineLevel="0" collapsed="false">
      <c r="A2" s="5" t="s">
        <v>262</v>
      </c>
      <c r="B2" s="5" t="s">
        <v>263</v>
      </c>
      <c r="C2" s="5" t="s">
        <v>264</v>
      </c>
      <c r="D2" s="5" t="s">
        <v>265</v>
      </c>
      <c r="E2" s="12" t="n">
        <v>46023</v>
      </c>
      <c r="F2" s="12" t="n">
        <v>46387</v>
      </c>
      <c r="G2" s="6" t="n">
        <v>120000000</v>
      </c>
      <c r="H2" s="15" t="n">
        <v>12</v>
      </c>
      <c r="I2" s="7" t="n">
        <f aca="false">G2/H2</f>
        <v>10000000</v>
      </c>
      <c r="J2" s="7" t="n">
        <v>10000000</v>
      </c>
      <c r="K2" s="7" t="n">
        <f aca="false">MIN(I2,J2)</f>
        <v>10000000</v>
      </c>
      <c r="L2" s="7" t="n">
        <f aca="false">J2-K2</f>
        <v>0</v>
      </c>
    </row>
    <row r="3" customFormat="false" ht="15" hidden="false" customHeight="false" outlineLevel="0" collapsed="false">
      <c r="A3" s="5" t="s">
        <v>266</v>
      </c>
      <c r="B3" s="5" t="s">
        <v>267</v>
      </c>
      <c r="C3" s="5" t="s">
        <v>264</v>
      </c>
      <c r="D3" s="5" t="s">
        <v>222</v>
      </c>
      <c r="E3" s="12" t="n">
        <v>46113</v>
      </c>
      <c r="F3" s="12" t="n">
        <v>46477</v>
      </c>
      <c r="G3" s="6" t="n">
        <v>84000000</v>
      </c>
      <c r="H3" s="15" t="n">
        <v>12</v>
      </c>
      <c r="I3" s="7" t="n">
        <f aca="false">G3/H3</f>
        <v>7000000</v>
      </c>
      <c r="J3" s="7" t="n">
        <v>56000000</v>
      </c>
      <c r="K3" s="7" t="n">
        <f aca="false">MIN(I3,J3)</f>
        <v>7000000</v>
      </c>
      <c r="L3" s="7" t="n">
        <f aca="false">J3-K3</f>
        <v>49000000</v>
      </c>
    </row>
    <row r="4" customFormat="false" ht="15" hidden="false" customHeight="false" outlineLevel="0" collapsed="false">
      <c r="A4" s="5" t="s">
        <v>268</v>
      </c>
      <c r="B4" s="5" t="s">
        <v>269</v>
      </c>
      <c r="C4" s="5" t="s">
        <v>264</v>
      </c>
      <c r="D4" s="5" t="s">
        <v>224</v>
      </c>
      <c r="E4" s="12" t="n">
        <v>46204</v>
      </c>
      <c r="F4" s="12" t="n">
        <v>46568</v>
      </c>
      <c r="G4" s="6" t="n">
        <v>36000000</v>
      </c>
      <c r="H4" s="15" t="n">
        <v>12</v>
      </c>
      <c r="I4" s="7" t="n">
        <f aca="false">G4/H4</f>
        <v>3000000</v>
      </c>
      <c r="J4" s="7" t="n">
        <v>33000000</v>
      </c>
      <c r="K4" s="7" t="n">
        <f aca="false">MIN(I4,J4)</f>
        <v>3000000</v>
      </c>
      <c r="L4" s="7" t="n">
        <f aca="false">J4-K4</f>
        <v>30000000</v>
      </c>
    </row>
    <row r="5" customFormat="false" ht="15" hidden="false" customHeight="false" outlineLevel="0" collapsed="false">
      <c r="A5" s="5" t="s">
        <v>270</v>
      </c>
      <c r="B5" s="5" t="s">
        <v>271</v>
      </c>
      <c r="C5" s="5" t="s">
        <v>264</v>
      </c>
      <c r="D5" s="5" t="s">
        <v>226</v>
      </c>
      <c r="E5" s="12" t="n">
        <v>45931</v>
      </c>
      <c r="F5" s="12" t="n">
        <v>46295</v>
      </c>
      <c r="G5" s="6" t="n">
        <v>24000000</v>
      </c>
      <c r="H5" s="15" t="n">
        <v>12</v>
      </c>
      <c r="I5" s="7" t="n">
        <f aca="false">G5/H5</f>
        <v>2000000</v>
      </c>
      <c r="J5" s="7" t="n">
        <v>0</v>
      </c>
      <c r="K5" s="7" t="n">
        <f aca="false">MIN(I5,J5)</f>
        <v>0</v>
      </c>
      <c r="L5" s="7" t="n">
        <f aca="false">J5-K5</f>
        <v>0</v>
      </c>
    </row>
    <row r="6" customFormat="false" ht="15" hidden="false" customHeight="false" outlineLevel="0" collapsed="false">
      <c r="A6" s="5" t="s">
        <v>272</v>
      </c>
      <c r="B6" s="5" t="s">
        <v>273</v>
      </c>
      <c r="C6" s="5" t="s">
        <v>274</v>
      </c>
      <c r="D6" s="5" t="s">
        <v>275</v>
      </c>
      <c r="E6" s="12" t="n">
        <v>46023</v>
      </c>
      <c r="F6" s="12" t="n">
        <v>46387</v>
      </c>
      <c r="G6" s="6" t="n">
        <v>4800000</v>
      </c>
      <c r="H6" s="15" t="n">
        <v>12</v>
      </c>
      <c r="I6" s="7" t="n">
        <f aca="false">G6/H6</f>
        <v>400000</v>
      </c>
      <c r="J6" s="7" t="n">
        <v>400000</v>
      </c>
      <c r="K6" s="7" t="n">
        <f aca="false">MIN(I6,J6)</f>
        <v>400000</v>
      </c>
      <c r="L6" s="7" t="n">
        <f aca="false">J6-K6</f>
        <v>0</v>
      </c>
    </row>
    <row r="7" customFormat="false" ht="15" hidden="false" customHeight="false" outlineLevel="0" collapsed="false">
      <c r="A7" s="5" t="s">
        <v>276</v>
      </c>
      <c r="B7" s="5" t="s">
        <v>277</v>
      </c>
      <c r="C7" s="5" t="s">
        <v>274</v>
      </c>
      <c r="D7" s="5" t="s">
        <v>278</v>
      </c>
      <c r="E7" s="12" t="n">
        <v>46023</v>
      </c>
      <c r="F7" s="12" t="n">
        <v>46387</v>
      </c>
      <c r="G7" s="6" t="n">
        <v>3600000</v>
      </c>
      <c r="H7" s="15" t="n">
        <v>12</v>
      </c>
      <c r="I7" s="7" t="n">
        <f aca="false">G7/H7</f>
        <v>300000</v>
      </c>
      <c r="J7" s="7" t="n">
        <v>300000</v>
      </c>
      <c r="K7" s="7" t="n">
        <f aca="false">MIN(I7,J7)</f>
        <v>300000</v>
      </c>
      <c r="L7" s="7" t="n">
        <f aca="false">J7-K7</f>
        <v>0</v>
      </c>
    </row>
    <row r="8" customFormat="false" ht="15" hidden="false" customHeight="false" outlineLevel="0" collapsed="false">
      <c r="A8" s="5" t="s">
        <v>279</v>
      </c>
      <c r="B8" s="5" t="s">
        <v>280</v>
      </c>
      <c r="C8" s="5" t="s">
        <v>281</v>
      </c>
      <c r="D8" s="5" t="s">
        <v>282</v>
      </c>
      <c r="E8" s="12" t="n">
        <v>46204</v>
      </c>
      <c r="F8" s="12" t="n">
        <v>46568</v>
      </c>
      <c r="G8" s="6" t="n">
        <v>2400000</v>
      </c>
      <c r="H8" s="15" t="n">
        <v>12</v>
      </c>
      <c r="I8" s="7" t="n">
        <f aca="false">G8/H8</f>
        <v>200000</v>
      </c>
      <c r="J8" s="7" t="n">
        <v>2200000</v>
      </c>
      <c r="K8" s="7" t="n">
        <f aca="false">MIN(I8,J8)</f>
        <v>200000</v>
      </c>
      <c r="L8" s="7" t="n">
        <f aca="false">J8-K8</f>
        <v>2000000</v>
      </c>
    </row>
    <row r="9" customFormat="false" ht="15" hidden="false" customHeight="false" outlineLevel="0" collapsed="false">
      <c r="A9" s="5" t="s">
        <v>283</v>
      </c>
      <c r="B9" s="5" t="s">
        <v>284</v>
      </c>
      <c r="C9" s="5" t="s">
        <v>281</v>
      </c>
      <c r="D9" s="5" t="s">
        <v>285</v>
      </c>
      <c r="E9" s="12" t="n">
        <v>46204</v>
      </c>
      <c r="F9" s="12" t="n">
        <v>46568</v>
      </c>
      <c r="G9" s="6" t="n">
        <v>1200000</v>
      </c>
      <c r="H9" s="15" t="n">
        <v>12</v>
      </c>
      <c r="I9" s="7" t="n">
        <f aca="false">G9/H9</f>
        <v>100000</v>
      </c>
      <c r="J9" s="7" t="n">
        <v>1100000</v>
      </c>
      <c r="K9" s="7" t="n">
        <f aca="false">MIN(I9,J9)</f>
        <v>100000</v>
      </c>
      <c r="L9" s="7" t="n">
        <f aca="false">J9-K9</f>
        <v>1000000</v>
      </c>
    </row>
    <row r="10" customFormat="false" ht="15" hidden="false" customHeight="false" outlineLevel="0" collapsed="false">
      <c r="A10" s="5" t="s">
        <v>286</v>
      </c>
      <c r="B10" s="5" t="s">
        <v>287</v>
      </c>
      <c r="C10" s="5" t="s">
        <v>213</v>
      </c>
      <c r="D10" s="5" t="s">
        <v>288</v>
      </c>
      <c r="E10" s="12" t="n">
        <v>46266</v>
      </c>
      <c r="F10" s="12" t="n">
        <v>46630</v>
      </c>
      <c r="G10" s="6" t="n">
        <v>2400000</v>
      </c>
      <c r="H10" s="15" t="n">
        <v>12</v>
      </c>
      <c r="I10" s="7" t="n">
        <f aca="false">G10/H10</f>
        <v>200000</v>
      </c>
      <c r="J10" s="7" t="n">
        <v>2200000</v>
      </c>
      <c r="K10" s="7" t="n">
        <f aca="false">MIN(I10,J10)</f>
        <v>200000</v>
      </c>
      <c r="L10" s="7" t="n">
        <f aca="false">J10-K10</f>
        <v>2000000</v>
      </c>
    </row>
    <row r="11" customFormat="false" ht="15" hidden="false" customHeight="false" outlineLevel="0" collapsed="false">
      <c r="A11" s="13" t="s">
        <v>214</v>
      </c>
      <c r="G11" s="14" t="n">
        <f aca="false">SUM(G2:G10)</f>
        <v>278400000</v>
      </c>
      <c r="I11" s="14" t="n">
        <f aca="false">SUM(I2:I10)</f>
        <v>23200000</v>
      </c>
      <c r="J11" s="14" t="n">
        <f aca="false">SUM(J2:J10)</f>
        <v>105200000</v>
      </c>
      <c r="K11" s="14" t="n">
        <f aca="false">SUM(K2:K10)</f>
        <v>21200000</v>
      </c>
      <c r="L11" s="14" t="n">
        <f aca="false">SUM(L2:L10)</f>
        <v>84000000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8" min="6" style="0" width="16"/>
    <col collapsed="false" customWidth="true" hidden="false" outlineLevel="0" max="9" min="9" style="0" width="50"/>
  </cols>
  <sheetData>
    <row r="1" customFormat="false" ht="15" hidden="false" customHeight="false" outlineLevel="0" collapsed="false">
      <c r="A1" s="4" t="s">
        <v>289</v>
      </c>
      <c r="B1" s="4" t="s">
        <v>252</v>
      </c>
      <c r="C1" s="4" t="s">
        <v>217</v>
      </c>
      <c r="D1" s="4" t="s">
        <v>290</v>
      </c>
      <c r="E1" s="4" t="s">
        <v>291</v>
      </c>
      <c r="F1" s="4" t="s">
        <v>259</v>
      </c>
      <c r="G1" s="4" t="s">
        <v>292</v>
      </c>
      <c r="H1" s="4" t="s">
        <v>261</v>
      </c>
      <c r="I1" s="4" t="s">
        <v>293</v>
      </c>
    </row>
    <row r="2" customFormat="false" ht="15" hidden="false" customHeight="false" outlineLevel="0" collapsed="false">
      <c r="A2" s="5" t="s">
        <v>294</v>
      </c>
      <c r="B2" s="5" t="s">
        <v>295</v>
      </c>
      <c r="C2" s="5" t="s">
        <v>296</v>
      </c>
      <c r="D2" s="5" t="s">
        <v>297</v>
      </c>
      <c r="E2" s="5" t="s">
        <v>298</v>
      </c>
      <c r="F2" s="6" t="n">
        <v>26000000</v>
      </c>
      <c r="G2" s="6" t="n">
        <v>2400000</v>
      </c>
      <c r="H2" s="6" t="n">
        <v>28400000</v>
      </c>
      <c r="I2" s="16" t="s">
        <v>299</v>
      </c>
    </row>
    <row r="3" customFormat="false" ht="15" hidden="false" customHeight="false" outlineLevel="0" collapsed="false">
      <c r="A3" s="5" t="s">
        <v>300</v>
      </c>
      <c r="B3" s="5" t="s">
        <v>301</v>
      </c>
      <c r="C3" s="5" t="s">
        <v>302</v>
      </c>
      <c r="D3" s="5" t="s">
        <v>297</v>
      </c>
      <c r="E3" s="5" t="s">
        <v>298</v>
      </c>
      <c r="F3" s="6" t="n">
        <v>12100000</v>
      </c>
      <c r="G3" s="6" t="n">
        <v>400000</v>
      </c>
      <c r="H3" s="6" t="n">
        <v>12500000</v>
      </c>
      <c r="I3" s="16" t="s">
        <v>303</v>
      </c>
    </row>
    <row r="4" customFormat="false" ht="15" hidden="false" customHeight="false" outlineLevel="0" collapsed="false">
      <c r="A4" s="5" t="s">
        <v>304</v>
      </c>
      <c r="B4" s="5" t="s">
        <v>305</v>
      </c>
      <c r="C4" s="5" t="s">
        <v>220</v>
      </c>
      <c r="D4" s="5" t="s">
        <v>297</v>
      </c>
      <c r="E4" s="5" t="s">
        <v>306</v>
      </c>
      <c r="F4" s="6" t="n">
        <v>18000000</v>
      </c>
      <c r="G4" s="6" t="n">
        <v>4000000</v>
      </c>
      <c r="H4" s="6" t="n">
        <v>22000000</v>
      </c>
      <c r="I4" s="16" t="s">
        <v>307</v>
      </c>
    </row>
    <row r="5" customFormat="false" ht="15" hidden="false" customHeight="false" outlineLevel="0" collapsed="false">
      <c r="A5" s="5" t="s">
        <v>308</v>
      </c>
      <c r="B5" s="5" t="s">
        <v>309</v>
      </c>
      <c r="C5" s="5" t="s">
        <v>220</v>
      </c>
      <c r="D5" s="5" t="s">
        <v>297</v>
      </c>
      <c r="E5" s="5" t="s">
        <v>306</v>
      </c>
      <c r="F5" s="6" t="n">
        <v>15000000</v>
      </c>
      <c r="G5" s="6" t="n">
        <v>1500000</v>
      </c>
      <c r="H5" s="6" t="n">
        <v>16500000</v>
      </c>
      <c r="I5" s="16" t="s">
        <v>307</v>
      </c>
    </row>
    <row r="6" customFormat="false" ht="15" hidden="false" customHeight="false" outlineLevel="0" collapsed="false">
      <c r="A6" s="5" t="s">
        <v>310</v>
      </c>
      <c r="B6" s="5" t="s">
        <v>311</v>
      </c>
      <c r="C6" s="5" t="s">
        <v>220</v>
      </c>
      <c r="D6" s="5" t="s">
        <v>297</v>
      </c>
      <c r="E6" s="5" t="s">
        <v>306</v>
      </c>
      <c r="F6" s="6" t="n">
        <v>15500000</v>
      </c>
      <c r="G6" s="6" t="n">
        <v>-9000000</v>
      </c>
      <c r="H6" s="6" t="n">
        <v>6500000</v>
      </c>
      <c r="I6" s="16" t="s">
        <v>312</v>
      </c>
    </row>
    <row r="7" customFormat="false" ht="15" hidden="false" customHeight="false" outlineLevel="0" collapsed="false">
      <c r="A7" s="9" t="s">
        <v>313</v>
      </c>
      <c r="B7" s="9" t="s">
        <v>314</v>
      </c>
      <c r="C7" s="9" t="s">
        <v>236</v>
      </c>
      <c r="D7" s="9" t="s">
        <v>315</v>
      </c>
      <c r="E7" s="9" t="s">
        <v>316</v>
      </c>
      <c r="F7" s="11" t="n">
        <v>850000</v>
      </c>
      <c r="G7" s="11" t="n">
        <v>0</v>
      </c>
      <c r="H7" s="11" t="n">
        <v>850000</v>
      </c>
      <c r="I7" s="17" t="s">
        <v>317</v>
      </c>
    </row>
    <row r="8" customFormat="false" ht="15" hidden="false" customHeight="false" outlineLevel="0" collapsed="false">
      <c r="A8" s="5" t="s">
        <v>318</v>
      </c>
      <c r="B8" s="5" t="s">
        <v>319</v>
      </c>
      <c r="C8" s="5" t="s">
        <v>236</v>
      </c>
      <c r="D8" s="5" t="s">
        <v>297</v>
      </c>
      <c r="E8" s="5" t="s">
        <v>306</v>
      </c>
      <c r="F8" s="6" t="n">
        <v>5500000</v>
      </c>
      <c r="G8" s="6" t="n">
        <v>8450000</v>
      </c>
      <c r="H8" s="6" t="n">
        <v>13950000</v>
      </c>
      <c r="I8" s="16" t="s">
        <v>320</v>
      </c>
    </row>
    <row r="9" customFormat="false" ht="15" hidden="false" customHeight="false" outlineLevel="0" collapsed="false">
      <c r="A9" s="5" t="s">
        <v>321</v>
      </c>
      <c r="B9" s="5" t="s">
        <v>322</v>
      </c>
      <c r="C9" s="5" t="s">
        <v>323</v>
      </c>
      <c r="D9" s="5" t="s">
        <v>297</v>
      </c>
      <c r="E9" s="5" t="s">
        <v>306</v>
      </c>
      <c r="F9" s="6" t="n">
        <v>1850000</v>
      </c>
      <c r="G9" s="6" t="n">
        <v>200000</v>
      </c>
      <c r="H9" s="6" t="n">
        <v>2050000</v>
      </c>
      <c r="I9" s="16" t="s">
        <v>307</v>
      </c>
    </row>
    <row r="10" customFormat="false" ht="15" hidden="false" customHeight="false" outlineLevel="0" collapsed="false">
      <c r="A10" s="5" t="s">
        <v>324</v>
      </c>
      <c r="B10" s="5" t="s">
        <v>325</v>
      </c>
      <c r="C10" s="5" t="s">
        <v>243</v>
      </c>
      <c r="D10" s="5" t="s">
        <v>297</v>
      </c>
      <c r="E10" s="5" t="s">
        <v>306</v>
      </c>
      <c r="F10" s="6" t="n">
        <v>450000</v>
      </c>
      <c r="G10" s="6" t="n">
        <v>50000</v>
      </c>
      <c r="H10" s="6" t="n">
        <v>500000</v>
      </c>
      <c r="I10" s="16" t="s">
        <v>307</v>
      </c>
    </row>
    <row r="11" customFormat="false" ht="15" hidden="false" customHeight="false" outlineLevel="0" collapsed="false">
      <c r="A11" s="5" t="s">
        <v>326</v>
      </c>
      <c r="B11" s="5" t="s">
        <v>327</v>
      </c>
      <c r="C11" s="5" t="s">
        <v>213</v>
      </c>
      <c r="D11" s="5" t="s">
        <v>297</v>
      </c>
      <c r="E11" s="5" t="s">
        <v>306</v>
      </c>
      <c r="F11" s="6" t="n">
        <v>850000</v>
      </c>
      <c r="G11" s="6" t="n">
        <v>200000</v>
      </c>
      <c r="H11" s="6" t="n">
        <v>1050000</v>
      </c>
      <c r="I11" s="16" t="s">
        <v>307</v>
      </c>
    </row>
    <row r="12" customFormat="false" ht="15" hidden="false" customHeight="false" outlineLevel="0" collapsed="false">
      <c r="A12" s="5" t="s">
        <v>328</v>
      </c>
      <c r="B12" s="5" t="s">
        <v>329</v>
      </c>
      <c r="C12" s="5" t="s">
        <v>213</v>
      </c>
      <c r="D12" s="5" t="s">
        <v>297</v>
      </c>
      <c r="E12" s="5" t="s">
        <v>306</v>
      </c>
      <c r="F12" s="6" t="n">
        <v>6950000</v>
      </c>
      <c r="G12" s="6" t="n">
        <v>400000</v>
      </c>
      <c r="H12" s="6" t="n">
        <v>7350000</v>
      </c>
      <c r="I12" s="16" t="s">
        <v>307</v>
      </c>
    </row>
    <row r="13" customFormat="false" ht="15" hidden="false" customHeight="false" outlineLevel="0" collapsed="false">
      <c r="A13" s="13" t="s">
        <v>214</v>
      </c>
      <c r="F13" s="14" t="n">
        <f aca="false">SUM(F2:F12)</f>
        <v>103050000</v>
      </c>
      <c r="G13" s="14" t="n">
        <f aca="false">SUM(G2:G12)</f>
        <v>8600000</v>
      </c>
      <c r="H13" s="14" t="n">
        <f aca="false">SUM(H2:H12)</f>
        <v>111650000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330</v>
      </c>
      <c r="B1" s="1"/>
      <c r="C1" s="1"/>
      <c r="D1" s="1"/>
    </row>
    <row r="2" customFormat="false" ht="15" hidden="false" customHeight="false" outlineLevel="0" collapsed="false">
      <c r="A2" s="18" t="s">
        <v>331</v>
      </c>
      <c r="B2" s="18"/>
      <c r="C2" s="18"/>
      <c r="D2" s="18"/>
    </row>
    <row r="4" customFormat="false" ht="15" hidden="false" customHeight="false" outlineLevel="0" collapsed="false">
      <c r="A4" s="19" t="s">
        <v>332</v>
      </c>
      <c r="B4" s="19"/>
      <c r="C4" s="19"/>
      <c r="D4" s="19"/>
    </row>
    <row r="5" customFormat="false" ht="15" hidden="false" customHeight="false" outlineLevel="0" collapsed="false">
      <c r="A5" s="20" t="s">
        <v>333</v>
      </c>
      <c r="B5" s="21" t="n">
        <v>144855700</v>
      </c>
    </row>
    <row r="6" customFormat="false" ht="15" hidden="false" customHeight="false" outlineLevel="0" collapsed="false">
      <c r="A6" s="20" t="s">
        <v>334</v>
      </c>
      <c r="B6" s="21" t="n">
        <v>3200000</v>
      </c>
    </row>
    <row r="7" customFormat="false" ht="15" hidden="false" customHeight="false" outlineLevel="0" collapsed="false">
      <c r="A7" s="20" t="s">
        <v>335</v>
      </c>
      <c r="B7" s="21" t="n">
        <v>-5550000</v>
      </c>
    </row>
    <row r="8" customFormat="false" ht="15" hidden="false" customHeight="false" outlineLevel="0" collapsed="false">
      <c r="A8" s="20" t="s">
        <v>336</v>
      </c>
      <c r="B8" s="22" t="n">
        <f aca="false">B5+B6+B7</f>
        <v>142505700</v>
      </c>
    </row>
    <row r="9" customFormat="false" ht="15" hidden="false" customHeight="false" outlineLevel="0" collapsed="false">
      <c r="A9" s="23"/>
    </row>
    <row r="10" customFormat="false" ht="15" hidden="false" customHeight="false" outlineLevel="0" collapsed="false">
      <c r="A10" s="20" t="s">
        <v>337</v>
      </c>
      <c r="B10" s="21" t="n">
        <v>142500000</v>
      </c>
    </row>
    <row r="11" customFormat="false" ht="15" hidden="false" customHeight="false" outlineLevel="0" collapsed="false">
      <c r="A11" s="20" t="s">
        <v>338</v>
      </c>
      <c r="B11" s="22" t="n">
        <f aca="false">SUMIF(C20:C40,"Book",E20:E40)</f>
        <v>5700</v>
      </c>
    </row>
    <row r="12" customFormat="false" ht="15" hidden="false" customHeight="false" outlineLevel="0" collapsed="false">
      <c r="A12" s="20" t="s">
        <v>339</v>
      </c>
      <c r="B12" s="22" t="n">
        <f aca="false">B10+B11</f>
        <v>142505700</v>
      </c>
    </row>
    <row r="13" customFormat="false" ht="15" hidden="false" customHeight="false" outlineLevel="0" collapsed="false">
      <c r="A13" s="23"/>
    </row>
    <row r="14" customFormat="false" ht="15" hidden="false" customHeight="false" outlineLevel="0" collapsed="false">
      <c r="A14" s="20" t="s">
        <v>340</v>
      </c>
      <c r="B14" s="24" t="n">
        <f aca="false">B8-B12</f>
        <v>0</v>
      </c>
    </row>
    <row r="17" customFormat="false" ht="15" hidden="false" customHeight="false" outlineLevel="0" collapsed="false">
      <c r="A17" s="19" t="s">
        <v>341</v>
      </c>
      <c r="B17" s="19"/>
      <c r="C17" s="19"/>
      <c r="D17" s="19"/>
      <c r="E17" s="19"/>
    </row>
    <row r="19" customFormat="false" ht="15" hidden="false" customHeight="false" outlineLevel="0" collapsed="false">
      <c r="A19" s="4" t="s">
        <v>342</v>
      </c>
      <c r="B19" s="4" t="s">
        <v>343</v>
      </c>
      <c r="C19" s="4" t="s">
        <v>344</v>
      </c>
      <c r="D19" s="4" t="s">
        <v>345</v>
      </c>
      <c r="E19" s="4" t="s">
        <v>346</v>
      </c>
    </row>
    <row r="20" customFormat="false" ht="15" hidden="false" customHeight="false" outlineLevel="0" collapsed="false">
      <c r="A20" s="5" t="s">
        <v>347</v>
      </c>
      <c r="B20" s="12" t="n">
        <v>46350</v>
      </c>
      <c r="C20" s="5" t="s">
        <v>348</v>
      </c>
      <c r="D20" s="5" t="s">
        <v>349</v>
      </c>
      <c r="E20" s="6" t="n">
        <v>2800000</v>
      </c>
    </row>
    <row r="21" customFormat="false" ht="15" hidden="false" customHeight="false" outlineLevel="0" collapsed="false">
      <c r="A21" s="5" t="s">
        <v>350</v>
      </c>
      <c r="B21" s="12" t="n">
        <v>46352</v>
      </c>
      <c r="C21" s="5" t="s">
        <v>348</v>
      </c>
      <c r="D21" s="5" t="s">
        <v>351</v>
      </c>
      <c r="E21" s="6" t="n">
        <v>1200000</v>
      </c>
    </row>
    <row r="22" customFormat="false" ht="15" hidden="false" customHeight="false" outlineLevel="0" collapsed="false">
      <c r="A22" s="5" t="s">
        <v>352</v>
      </c>
      <c r="B22" s="12" t="n">
        <v>46354</v>
      </c>
      <c r="C22" s="5" t="s">
        <v>348</v>
      </c>
      <c r="D22" s="5" t="s">
        <v>353</v>
      </c>
      <c r="E22" s="6" t="n">
        <v>1505000</v>
      </c>
    </row>
    <row r="23" customFormat="false" ht="15" hidden="false" customHeight="false" outlineLevel="0" collapsed="false">
      <c r="A23" s="9" t="s">
        <v>354</v>
      </c>
      <c r="B23" s="10" t="n">
        <v>46289</v>
      </c>
      <c r="C23" s="9" t="s">
        <v>348</v>
      </c>
      <c r="D23" s="9" t="s">
        <v>355</v>
      </c>
      <c r="E23" s="11" t="n">
        <v>45000</v>
      </c>
    </row>
    <row r="25" customFormat="false" ht="15" hidden="false" customHeight="false" outlineLevel="0" collapsed="false">
      <c r="A25" s="5" t="s">
        <v>356</v>
      </c>
      <c r="B25" s="12" t="n">
        <v>46356</v>
      </c>
      <c r="C25" s="5" t="s">
        <v>357</v>
      </c>
      <c r="D25" s="5" t="s">
        <v>358</v>
      </c>
      <c r="E25" s="6" t="n">
        <v>-2500</v>
      </c>
    </row>
    <row r="26" customFormat="false" ht="15" hidden="false" customHeight="false" outlineLevel="0" collapsed="false">
      <c r="A26" s="5" t="s">
        <v>359</v>
      </c>
      <c r="B26" s="12" t="n">
        <v>46356</v>
      </c>
      <c r="C26" s="5" t="s">
        <v>357</v>
      </c>
      <c r="D26" s="5" t="s">
        <v>360</v>
      </c>
      <c r="E26" s="6" t="n">
        <v>8200</v>
      </c>
    </row>
  </sheetData>
  <mergeCells count="4">
    <mergeCell ref="A1:D1"/>
    <mergeCell ref="A2:D2"/>
    <mergeCell ref="A4:D4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1" t="s">
        <v>361</v>
      </c>
      <c r="B1" s="1"/>
      <c r="C1" s="1"/>
      <c r="D1" s="1"/>
      <c r="E1" s="1"/>
    </row>
    <row r="2" customFormat="false" ht="15" hidden="false" customHeight="false" outlineLevel="0" collapsed="false">
      <c r="A2" s="25" t="s">
        <v>362</v>
      </c>
      <c r="B2" s="25"/>
      <c r="C2" s="25"/>
      <c r="D2" s="25"/>
      <c r="E2" s="25"/>
    </row>
    <row r="4" customFormat="false" ht="15" hidden="false" customHeight="false" outlineLevel="0" collapsed="false">
      <c r="A4" s="4" t="s">
        <v>363</v>
      </c>
      <c r="B4" s="4" t="s">
        <v>364</v>
      </c>
      <c r="C4" s="4" t="s">
        <v>365</v>
      </c>
      <c r="D4" s="4" t="s">
        <v>346</v>
      </c>
      <c r="E4" s="4" t="s">
        <v>366</v>
      </c>
    </row>
    <row r="5" customFormat="false" ht="15" hidden="false" customHeight="false" outlineLevel="0" collapsed="false">
      <c r="A5" s="9" t="s">
        <v>68</v>
      </c>
      <c r="B5" s="9" t="s">
        <v>69</v>
      </c>
      <c r="C5" s="9" t="s">
        <v>367</v>
      </c>
      <c r="D5" s="11" t="n">
        <v>12400000</v>
      </c>
      <c r="E5" s="9" t="s">
        <v>368</v>
      </c>
    </row>
    <row r="6" customFormat="false" ht="15" hidden="false" customHeight="false" outlineLevel="0" collapsed="false">
      <c r="A6" s="9" t="s">
        <v>69</v>
      </c>
      <c r="B6" s="9" t="s">
        <v>68</v>
      </c>
      <c r="C6" s="9" t="s">
        <v>369</v>
      </c>
      <c r="D6" s="11" t="n">
        <v>0</v>
      </c>
      <c r="E6" s="9" t="s">
        <v>368</v>
      </c>
    </row>
    <row r="7" customFormat="false" ht="15" hidden="false" customHeight="false" outlineLevel="0" collapsed="false">
      <c r="A7" s="5" t="s">
        <v>68</v>
      </c>
      <c r="B7" s="5" t="s">
        <v>70</v>
      </c>
      <c r="C7" s="5" t="s">
        <v>367</v>
      </c>
      <c r="D7" s="6" t="n">
        <v>8700000</v>
      </c>
      <c r="E7" s="5" t="s">
        <v>307</v>
      </c>
    </row>
    <row r="8" customFormat="false" ht="15" hidden="false" customHeight="false" outlineLevel="0" collapsed="false">
      <c r="A8" s="5" t="s">
        <v>70</v>
      </c>
      <c r="B8" s="5" t="s">
        <v>68</v>
      </c>
      <c r="C8" s="5" t="s">
        <v>369</v>
      </c>
      <c r="D8" s="6" t="n">
        <v>8700000</v>
      </c>
      <c r="E8" s="5" t="s">
        <v>307</v>
      </c>
    </row>
    <row r="9" customFormat="false" ht="15" hidden="false" customHeight="false" outlineLevel="0" collapsed="false">
      <c r="A9" s="5" t="s">
        <v>69</v>
      </c>
      <c r="B9" s="5" t="s">
        <v>70</v>
      </c>
      <c r="C9" s="5" t="s">
        <v>367</v>
      </c>
      <c r="D9" s="6" t="n">
        <v>2100000</v>
      </c>
      <c r="E9" s="5" t="s">
        <v>307</v>
      </c>
    </row>
    <row r="10" customFormat="false" ht="15" hidden="false" customHeight="false" outlineLevel="0" collapsed="false">
      <c r="A10" s="5" t="s">
        <v>70</v>
      </c>
      <c r="B10" s="5" t="s">
        <v>69</v>
      </c>
      <c r="C10" s="5" t="s">
        <v>369</v>
      </c>
      <c r="D10" s="6" t="n">
        <v>2100000</v>
      </c>
      <c r="E10" s="5" t="s">
        <v>307</v>
      </c>
    </row>
    <row r="12" customFormat="false" ht="15" hidden="false" customHeight="false" outlineLevel="0" collapsed="false">
      <c r="A12" s="19" t="s">
        <v>370</v>
      </c>
      <c r="B12" s="19"/>
      <c r="C12" s="19"/>
      <c r="D12" s="19"/>
      <c r="E12" s="19"/>
    </row>
    <row r="13" customFormat="false" ht="15" hidden="false" customHeight="false" outlineLevel="0" collapsed="false">
      <c r="A13" s="0" t="s">
        <v>371</v>
      </c>
      <c r="B13" s="24" t="n">
        <f aca="false">D5-D6</f>
        <v>12400000</v>
      </c>
      <c r="C13" s="20" t="s">
        <v>372</v>
      </c>
    </row>
    <row r="14" customFormat="false" ht="15" hidden="false" customHeight="false" outlineLevel="0" collapsed="false">
      <c r="A14" s="0" t="s">
        <v>373</v>
      </c>
      <c r="B14" s="22" t="n">
        <f aca="false">D7-D8</f>
        <v>0</v>
      </c>
      <c r="C14" s="26" t="s">
        <v>307</v>
      </c>
    </row>
    <row r="15" customFormat="false" ht="15" hidden="false" customHeight="false" outlineLevel="0" collapsed="false">
      <c r="A15" s="0" t="s">
        <v>374</v>
      </c>
      <c r="B15" s="22" t="n">
        <f aca="false">D9-D10</f>
        <v>0</v>
      </c>
      <c r="C15" s="26" t="s">
        <v>307</v>
      </c>
    </row>
  </sheetData>
  <mergeCells count="3">
    <mergeCell ref="A1:E1"/>
    <mergeCell ref="A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32"/>
    <col collapsed="false" customWidth="true" hidden="false" outlineLevel="0" max="6" min="5" style="0" width="13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4" t="s">
        <v>375</v>
      </c>
      <c r="B1" s="4" t="s">
        <v>376</v>
      </c>
      <c r="C1" s="4" t="s">
        <v>377</v>
      </c>
      <c r="D1" s="4" t="s">
        <v>378</v>
      </c>
      <c r="E1" s="4" t="s">
        <v>379</v>
      </c>
      <c r="F1" s="4" t="s">
        <v>380</v>
      </c>
      <c r="G1" s="4" t="s">
        <v>381</v>
      </c>
      <c r="H1" s="4" t="s">
        <v>382</v>
      </c>
      <c r="I1" s="4" t="s">
        <v>293</v>
      </c>
    </row>
    <row r="2" customFormat="false" ht="15" hidden="false" customHeight="false" outlineLevel="0" collapsed="false">
      <c r="A2" s="5" t="s">
        <v>383</v>
      </c>
      <c r="B2" s="16" t="s">
        <v>384</v>
      </c>
      <c r="C2" s="5" t="s">
        <v>385</v>
      </c>
      <c r="D2" s="5" t="s">
        <v>386</v>
      </c>
      <c r="E2" s="5" t="s">
        <v>385</v>
      </c>
      <c r="F2" s="12" t="n">
        <v>46357</v>
      </c>
      <c r="G2" s="16"/>
      <c r="H2" s="27" t="s">
        <v>387</v>
      </c>
      <c r="I2" s="16"/>
    </row>
    <row r="3" customFormat="false" ht="15" hidden="false" customHeight="false" outlineLevel="0" collapsed="false">
      <c r="A3" s="5" t="s">
        <v>388</v>
      </c>
      <c r="B3" s="16" t="s">
        <v>389</v>
      </c>
      <c r="C3" s="5" t="s">
        <v>385</v>
      </c>
      <c r="D3" s="5" t="s">
        <v>390</v>
      </c>
      <c r="E3" s="5" t="s">
        <v>385</v>
      </c>
      <c r="F3" s="12" t="n">
        <v>46357</v>
      </c>
      <c r="G3" s="16" t="s">
        <v>383</v>
      </c>
      <c r="H3" s="27" t="s">
        <v>387</v>
      </c>
      <c r="I3" s="16"/>
    </row>
    <row r="4" customFormat="false" ht="15" hidden="false" customHeight="false" outlineLevel="0" collapsed="false">
      <c r="A4" s="5" t="s">
        <v>391</v>
      </c>
      <c r="B4" s="16" t="s">
        <v>392</v>
      </c>
      <c r="C4" s="5" t="s">
        <v>385</v>
      </c>
      <c r="D4" s="5" t="s">
        <v>393</v>
      </c>
      <c r="E4" s="5" t="s">
        <v>385</v>
      </c>
      <c r="F4" s="12" t="n">
        <v>46357</v>
      </c>
      <c r="G4" s="16" t="s">
        <v>383</v>
      </c>
      <c r="H4" s="27" t="s">
        <v>387</v>
      </c>
      <c r="I4" s="16"/>
    </row>
    <row r="5" customFormat="false" ht="15" hidden="false" customHeight="false" outlineLevel="0" collapsed="false">
      <c r="A5" s="5" t="s">
        <v>394</v>
      </c>
      <c r="B5" s="16" t="s">
        <v>395</v>
      </c>
      <c r="C5" s="5" t="s">
        <v>396</v>
      </c>
      <c r="D5" s="5" t="s">
        <v>393</v>
      </c>
      <c r="E5" s="5" t="s">
        <v>396</v>
      </c>
      <c r="F5" s="12" t="n">
        <v>46358</v>
      </c>
      <c r="G5" s="16" t="s">
        <v>391</v>
      </c>
      <c r="H5" s="28" t="s">
        <v>397</v>
      </c>
      <c r="I5" s="16" t="s">
        <v>398</v>
      </c>
    </row>
    <row r="6" customFormat="false" ht="15" hidden="false" customHeight="false" outlineLevel="0" collapsed="false">
      <c r="A6" s="5" t="s">
        <v>399</v>
      </c>
      <c r="B6" s="16" t="s">
        <v>400</v>
      </c>
      <c r="C6" s="5" t="s">
        <v>396</v>
      </c>
      <c r="D6" s="5" t="s">
        <v>401</v>
      </c>
      <c r="E6" s="5" t="s">
        <v>396</v>
      </c>
      <c r="F6" s="12" t="n">
        <v>46358</v>
      </c>
      <c r="G6" s="16" t="s">
        <v>388</v>
      </c>
      <c r="H6" s="28" t="s">
        <v>397</v>
      </c>
      <c r="I6" s="16" t="s">
        <v>402</v>
      </c>
    </row>
    <row r="7" customFormat="false" ht="15" hidden="false" customHeight="false" outlineLevel="0" collapsed="false">
      <c r="A7" s="5" t="s">
        <v>403</v>
      </c>
      <c r="B7" s="16" t="s">
        <v>404</v>
      </c>
      <c r="C7" s="5" t="s">
        <v>396</v>
      </c>
      <c r="D7" s="5" t="s">
        <v>405</v>
      </c>
      <c r="E7" s="5" t="s">
        <v>396</v>
      </c>
      <c r="F7" s="12" t="n">
        <v>46358</v>
      </c>
      <c r="G7" s="16" t="s">
        <v>383</v>
      </c>
      <c r="H7" s="28" t="s">
        <v>397</v>
      </c>
      <c r="I7" s="16"/>
    </row>
    <row r="8" customFormat="false" ht="15" hidden="false" customHeight="false" outlineLevel="0" collapsed="false">
      <c r="A8" s="5" t="s">
        <v>406</v>
      </c>
      <c r="B8" s="16" t="s">
        <v>407</v>
      </c>
      <c r="C8" s="5" t="s">
        <v>408</v>
      </c>
      <c r="D8" s="5" t="s">
        <v>409</v>
      </c>
      <c r="E8" s="5" t="s">
        <v>408</v>
      </c>
      <c r="F8" s="12" t="n">
        <v>46359</v>
      </c>
      <c r="G8" s="16" t="s">
        <v>383</v>
      </c>
      <c r="H8" s="29" t="s">
        <v>410</v>
      </c>
      <c r="I8" s="16"/>
    </row>
    <row r="9" customFormat="false" ht="15" hidden="false" customHeight="false" outlineLevel="0" collapsed="false">
      <c r="A9" s="5" t="s">
        <v>411</v>
      </c>
      <c r="B9" s="16" t="s">
        <v>412</v>
      </c>
      <c r="C9" s="5" t="s">
        <v>408</v>
      </c>
      <c r="D9" s="5" t="s">
        <v>413</v>
      </c>
      <c r="E9" s="5" t="s">
        <v>408</v>
      </c>
      <c r="F9" s="12" t="n">
        <v>46359</v>
      </c>
      <c r="G9" s="16" t="s">
        <v>383</v>
      </c>
      <c r="H9" s="29" t="s">
        <v>410</v>
      </c>
      <c r="I9" s="16"/>
    </row>
    <row r="10" customFormat="false" ht="23.85" hidden="false" customHeight="false" outlineLevel="0" collapsed="false">
      <c r="A10" s="5" t="s">
        <v>414</v>
      </c>
      <c r="B10" s="16" t="s">
        <v>415</v>
      </c>
      <c r="C10" s="5" t="s">
        <v>408</v>
      </c>
      <c r="D10" s="5" t="s">
        <v>416</v>
      </c>
      <c r="E10" s="5" t="s">
        <v>408</v>
      </c>
      <c r="F10" s="12" t="n">
        <v>46359</v>
      </c>
      <c r="G10" s="16" t="s">
        <v>417</v>
      </c>
      <c r="H10" s="29" t="s">
        <v>410</v>
      </c>
      <c r="I10" s="16"/>
    </row>
    <row r="11" customFormat="false" ht="15" hidden="false" customHeight="false" outlineLevel="0" collapsed="false">
      <c r="A11" s="5" t="s">
        <v>418</v>
      </c>
      <c r="B11" s="16" t="s">
        <v>419</v>
      </c>
      <c r="C11" s="5" t="s">
        <v>420</v>
      </c>
      <c r="D11" s="5" t="s">
        <v>421</v>
      </c>
      <c r="E11" s="5" t="s">
        <v>420</v>
      </c>
      <c r="F11" s="12" t="n">
        <v>46360</v>
      </c>
      <c r="G11" s="16" t="s">
        <v>414</v>
      </c>
      <c r="H11" s="29" t="s">
        <v>410</v>
      </c>
      <c r="I11" s="16"/>
    </row>
    <row r="12" customFormat="false" ht="15" hidden="false" customHeight="false" outlineLevel="0" collapsed="false">
      <c r="A12" s="5" t="s">
        <v>422</v>
      </c>
      <c r="B12" s="16" t="s">
        <v>423</v>
      </c>
      <c r="C12" s="5" t="s">
        <v>420</v>
      </c>
      <c r="D12" s="5" t="s">
        <v>386</v>
      </c>
      <c r="E12" s="5" t="s">
        <v>420</v>
      </c>
      <c r="F12" s="12" t="n">
        <v>46360</v>
      </c>
      <c r="G12" s="16" t="s">
        <v>414</v>
      </c>
      <c r="H12" s="29" t="s">
        <v>410</v>
      </c>
      <c r="I12" s="16"/>
    </row>
    <row r="13" customFormat="false" ht="15" hidden="false" customHeight="false" outlineLevel="0" collapsed="false">
      <c r="A13" s="5" t="s">
        <v>424</v>
      </c>
      <c r="B13" s="16" t="s">
        <v>425</v>
      </c>
      <c r="C13" s="5" t="s">
        <v>420</v>
      </c>
      <c r="D13" s="5" t="s">
        <v>421</v>
      </c>
      <c r="E13" s="5" t="s">
        <v>420</v>
      </c>
      <c r="F13" s="12" t="n">
        <v>46360</v>
      </c>
      <c r="G13" s="16" t="s">
        <v>414</v>
      </c>
      <c r="H13" s="29" t="s">
        <v>410</v>
      </c>
      <c r="I13" s="16"/>
    </row>
    <row r="14" customFormat="false" ht="15" hidden="false" customHeight="false" outlineLevel="0" collapsed="false">
      <c r="A14" s="5" t="s">
        <v>426</v>
      </c>
      <c r="B14" s="16" t="s">
        <v>427</v>
      </c>
      <c r="C14" s="5" t="s">
        <v>428</v>
      </c>
      <c r="D14" s="5" t="s">
        <v>386</v>
      </c>
      <c r="E14" s="5" t="s">
        <v>428</v>
      </c>
      <c r="F14" s="12" t="n">
        <v>46361</v>
      </c>
      <c r="G14" s="16" t="s">
        <v>422</v>
      </c>
      <c r="H14" s="29" t="s">
        <v>410</v>
      </c>
      <c r="I14" s="16"/>
    </row>
    <row r="15" customFormat="false" ht="15" hidden="false" customHeight="false" outlineLevel="0" collapsed="false">
      <c r="A15" s="5" t="s">
        <v>429</v>
      </c>
      <c r="B15" s="16" t="s">
        <v>430</v>
      </c>
      <c r="C15" s="5" t="s">
        <v>428</v>
      </c>
      <c r="D15" s="5" t="s">
        <v>421</v>
      </c>
      <c r="E15" s="5" t="s">
        <v>428</v>
      </c>
      <c r="F15" s="12" t="n">
        <v>46361</v>
      </c>
      <c r="G15" s="16" t="s">
        <v>431</v>
      </c>
      <c r="H15" s="29" t="s">
        <v>410</v>
      </c>
      <c r="I15" s="16"/>
    </row>
    <row r="16" customFormat="false" ht="15" hidden="false" customHeight="false" outlineLevel="0" collapsed="false">
      <c r="A16" s="5" t="s">
        <v>432</v>
      </c>
      <c r="B16" s="16" t="s">
        <v>433</v>
      </c>
      <c r="C16" s="5" t="s">
        <v>428</v>
      </c>
      <c r="D16" s="5" t="s">
        <v>434</v>
      </c>
      <c r="E16" s="5" t="s">
        <v>428</v>
      </c>
      <c r="F16" s="12" t="n">
        <v>46361</v>
      </c>
      <c r="G16" s="16" t="s">
        <v>429</v>
      </c>
      <c r="H16" s="29" t="s">
        <v>410</v>
      </c>
      <c r="I16" s="16"/>
    </row>
    <row r="17" customFormat="false" ht="15" hidden="false" customHeight="false" outlineLevel="0" collapsed="false">
      <c r="A17" s="5" t="s">
        <v>435</v>
      </c>
      <c r="B17" s="16" t="s">
        <v>436</v>
      </c>
      <c r="C17" s="5" t="s">
        <v>428</v>
      </c>
      <c r="D17" s="5" t="s">
        <v>437</v>
      </c>
      <c r="E17" s="5" t="s">
        <v>428</v>
      </c>
      <c r="F17" s="12" t="n">
        <v>46361</v>
      </c>
      <c r="G17" s="16" t="s">
        <v>432</v>
      </c>
      <c r="H17" s="29" t="s">
        <v>410</v>
      </c>
      <c r="I17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7" min="6" style="0" width="36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4" t="s">
        <v>438</v>
      </c>
      <c r="B1" s="4" t="s">
        <v>439</v>
      </c>
      <c r="C1" s="4" t="s">
        <v>440</v>
      </c>
      <c r="D1" s="4" t="s">
        <v>441</v>
      </c>
      <c r="E1" s="4" t="s">
        <v>252</v>
      </c>
      <c r="F1" s="4" t="s">
        <v>442</v>
      </c>
      <c r="G1" s="4" t="s">
        <v>443</v>
      </c>
      <c r="H1" s="4" t="s">
        <v>346</v>
      </c>
      <c r="I1" s="4" t="s">
        <v>444</v>
      </c>
      <c r="J1" s="4" t="s">
        <v>445</v>
      </c>
    </row>
    <row r="2" customFormat="false" ht="15" hidden="false" customHeight="false" outlineLevel="0" collapsed="false">
      <c r="A2" s="5" t="s">
        <v>446</v>
      </c>
      <c r="B2" s="12" t="n">
        <v>46356</v>
      </c>
      <c r="C2" s="5" t="s">
        <v>447</v>
      </c>
      <c r="D2" s="5" t="s">
        <v>448</v>
      </c>
      <c r="E2" s="16" t="s">
        <v>449</v>
      </c>
      <c r="F2" s="16" t="s">
        <v>450</v>
      </c>
      <c r="G2" s="16" t="s">
        <v>451</v>
      </c>
      <c r="H2" s="6" t="n">
        <v>10000000</v>
      </c>
      <c r="I2" s="5" t="s">
        <v>452</v>
      </c>
      <c r="J2" s="5"/>
    </row>
    <row r="3" customFormat="false" ht="15" hidden="false" customHeight="false" outlineLevel="0" collapsed="false">
      <c r="A3" s="5" t="s">
        <v>453</v>
      </c>
      <c r="B3" s="12" t="n">
        <v>46356</v>
      </c>
      <c r="C3" s="5" t="s">
        <v>447</v>
      </c>
      <c r="D3" s="5" t="s">
        <v>448</v>
      </c>
      <c r="E3" s="16" t="s">
        <v>454</v>
      </c>
      <c r="F3" s="16" t="s">
        <v>450</v>
      </c>
      <c r="G3" s="16" t="s">
        <v>451</v>
      </c>
      <c r="H3" s="6" t="n">
        <v>7000000</v>
      </c>
      <c r="I3" s="5" t="s">
        <v>455</v>
      </c>
      <c r="J3" s="5"/>
    </row>
    <row r="4" customFormat="false" ht="15" hidden="false" customHeight="false" outlineLevel="0" collapsed="false">
      <c r="A4" s="5" t="s">
        <v>456</v>
      </c>
      <c r="B4" s="12" t="n">
        <v>46356</v>
      </c>
      <c r="C4" s="5" t="s">
        <v>447</v>
      </c>
      <c r="D4" s="5" t="s">
        <v>448</v>
      </c>
      <c r="E4" s="16" t="s">
        <v>457</v>
      </c>
      <c r="F4" s="16" t="s">
        <v>458</v>
      </c>
      <c r="G4" s="16" t="s">
        <v>459</v>
      </c>
      <c r="H4" s="6" t="n">
        <v>700000</v>
      </c>
      <c r="I4" s="5" t="s">
        <v>460</v>
      </c>
      <c r="J4" s="5"/>
    </row>
    <row r="5" customFormat="false" ht="15" hidden="false" customHeight="false" outlineLevel="0" collapsed="false">
      <c r="A5" s="5" t="s">
        <v>461</v>
      </c>
      <c r="B5" s="12" t="n">
        <v>46356</v>
      </c>
      <c r="C5" s="5" t="s">
        <v>447</v>
      </c>
      <c r="D5" s="5" t="s">
        <v>462</v>
      </c>
      <c r="E5" s="16" t="s">
        <v>463</v>
      </c>
      <c r="F5" s="16" t="s">
        <v>450</v>
      </c>
      <c r="G5" s="16" t="s">
        <v>464</v>
      </c>
      <c r="H5" s="6" t="n">
        <v>15500000</v>
      </c>
      <c r="I5" s="5" t="s">
        <v>465</v>
      </c>
      <c r="J5" s="5"/>
    </row>
    <row r="6" customFormat="false" ht="15" hidden="false" customHeight="false" outlineLevel="0" collapsed="false">
      <c r="A6" s="5" t="s">
        <v>466</v>
      </c>
      <c r="B6" s="12" t="n">
        <v>46356</v>
      </c>
      <c r="C6" s="5" t="s">
        <v>447</v>
      </c>
      <c r="D6" s="5" t="s">
        <v>467</v>
      </c>
      <c r="E6" s="16" t="s">
        <v>468</v>
      </c>
      <c r="F6" s="16" t="s">
        <v>469</v>
      </c>
      <c r="G6" s="16" t="s">
        <v>470</v>
      </c>
      <c r="H6" s="6" t="n">
        <v>2400000</v>
      </c>
      <c r="I6" s="5" t="s">
        <v>471</v>
      </c>
      <c r="J6" s="5"/>
    </row>
    <row r="7" customFormat="false" ht="15" hidden="false" customHeight="false" outlineLevel="0" collapsed="false">
      <c r="A7" s="5" t="s">
        <v>472</v>
      </c>
      <c r="B7" s="12" t="n">
        <v>46356</v>
      </c>
      <c r="C7" s="5" t="s">
        <v>447</v>
      </c>
      <c r="D7" s="5" t="s">
        <v>467</v>
      </c>
      <c r="E7" s="16" t="s">
        <v>473</v>
      </c>
      <c r="F7" s="16" t="s">
        <v>474</v>
      </c>
      <c r="G7" s="16" t="s">
        <v>475</v>
      </c>
      <c r="H7" s="6" t="n">
        <v>8450000</v>
      </c>
      <c r="I7" s="5" t="s">
        <v>476</v>
      </c>
      <c r="J7" s="5"/>
    </row>
    <row r="8" customFormat="false" ht="15" hidden="false" customHeight="false" outlineLevel="0" collapsed="false">
      <c r="A8" s="5" t="s">
        <v>477</v>
      </c>
      <c r="B8" s="12" t="n">
        <v>46356</v>
      </c>
      <c r="C8" s="5" t="s">
        <v>447</v>
      </c>
      <c r="D8" s="5" t="s">
        <v>462</v>
      </c>
      <c r="E8" s="16" t="s">
        <v>478</v>
      </c>
      <c r="F8" s="16" t="s">
        <v>479</v>
      </c>
      <c r="G8" s="16" t="s">
        <v>480</v>
      </c>
      <c r="H8" s="6" t="n">
        <v>800000</v>
      </c>
      <c r="I8" s="5" t="s">
        <v>481</v>
      </c>
      <c r="J8" s="5"/>
    </row>
    <row r="9" customFormat="false" ht="15" hidden="false" customHeight="false" outlineLevel="0" collapsed="false">
      <c r="A9" s="9" t="s">
        <v>482</v>
      </c>
      <c r="B9" s="10" t="n">
        <v>46354</v>
      </c>
      <c r="C9" s="9" t="s">
        <v>483</v>
      </c>
      <c r="D9" s="9" t="s">
        <v>484</v>
      </c>
      <c r="E9" s="17" t="s">
        <v>485</v>
      </c>
      <c r="F9" s="17" t="s">
        <v>450</v>
      </c>
      <c r="G9" s="17" t="s">
        <v>474</v>
      </c>
      <c r="H9" s="11" t="n">
        <v>1500000</v>
      </c>
      <c r="I9" s="9"/>
      <c r="J9" s="9" t="s">
        <v>486</v>
      </c>
    </row>
    <row r="10" customFormat="false" ht="15" hidden="false" customHeight="false" outlineLevel="0" collapsed="false">
      <c r="A10" s="5" t="s">
        <v>487</v>
      </c>
      <c r="B10" s="12" t="n">
        <v>46356</v>
      </c>
      <c r="C10" s="5" t="s">
        <v>447</v>
      </c>
      <c r="D10" s="5" t="s">
        <v>448</v>
      </c>
      <c r="E10" s="16" t="s">
        <v>488</v>
      </c>
      <c r="F10" s="16" t="s">
        <v>489</v>
      </c>
      <c r="G10" s="16" t="s">
        <v>490</v>
      </c>
      <c r="H10" s="6" t="n">
        <v>200000</v>
      </c>
      <c r="I10" s="5" t="s">
        <v>491</v>
      </c>
      <c r="J10" s="5"/>
    </row>
    <row r="11" customFormat="false" ht="15" hidden="false" customHeight="false" outlineLevel="0" collapsed="false">
      <c r="A11" s="5" t="s">
        <v>492</v>
      </c>
      <c r="B11" s="12" t="n">
        <v>46356</v>
      </c>
      <c r="C11" s="5" t="s">
        <v>447</v>
      </c>
      <c r="D11" s="5" t="s">
        <v>467</v>
      </c>
      <c r="E11" s="16" t="s">
        <v>493</v>
      </c>
      <c r="F11" s="16" t="s">
        <v>469</v>
      </c>
      <c r="G11" s="16" t="s">
        <v>494</v>
      </c>
      <c r="H11" s="6" t="n">
        <v>400000</v>
      </c>
      <c r="I11" s="5" t="s">
        <v>495</v>
      </c>
      <c r="J11" s="5"/>
    </row>
    <row r="12" customFormat="false" ht="15" hidden="false" customHeight="false" outlineLevel="0" collapsed="false">
      <c r="A12" s="5" t="s">
        <v>496</v>
      </c>
      <c r="B12" s="12" t="n">
        <v>46356</v>
      </c>
      <c r="C12" s="5" t="s">
        <v>447</v>
      </c>
      <c r="D12" s="5" t="s">
        <v>462</v>
      </c>
      <c r="E12" s="16" t="s">
        <v>322</v>
      </c>
      <c r="F12" s="16" t="s">
        <v>497</v>
      </c>
      <c r="G12" s="16" t="s">
        <v>480</v>
      </c>
      <c r="H12" s="6" t="n">
        <v>200000</v>
      </c>
      <c r="I12" s="5" t="s">
        <v>498</v>
      </c>
      <c r="J12" s="5"/>
    </row>
    <row r="13" customFormat="false" ht="15" hidden="false" customHeight="false" outlineLevel="0" collapsed="false">
      <c r="A13" s="5" t="s">
        <v>499</v>
      </c>
      <c r="B13" s="12" t="n">
        <v>46356</v>
      </c>
      <c r="C13" s="5" t="s">
        <v>447</v>
      </c>
      <c r="D13" s="5" t="s">
        <v>448</v>
      </c>
      <c r="E13" s="16" t="s">
        <v>500</v>
      </c>
      <c r="F13" s="16" t="s">
        <v>501</v>
      </c>
      <c r="G13" s="16" t="s">
        <v>502</v>
      </c>
      <c r="H13" s="6" t="n">
        <v>450000</v>
      </c>
      <c r="I13" s="5" t="s">
        <v>503</v>
      </c>
      <c r="J13" s="5"/>
    </row>
    <row r="14" customFormat="false" ht="15" hidden="false" customHeight="false" outlineLevel="0" collapsed="false">
      <c r="A14" s="13" t="s">
        <v>214</v>
      </c>
      <c r="H14" s="14" t="n">
        <f aca="false">SUM(H2:H13)</f>
        <v>47600000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2026-05-22T04:40:28Z</dcterms:created>
  <dc:creator>openpyxl</dc:creator>
  <dc:description/>
  <dc:language>en-US</dc:language>
  <cp:lastModifiedBy/>
  <dcterms:modified xsi:type="dcterms:W3CDTF">2026-05-22T04:40:28Z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