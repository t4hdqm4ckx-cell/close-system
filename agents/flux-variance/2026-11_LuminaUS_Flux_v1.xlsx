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luxSummary" sheetId="1" state="visible" r:id="rId3"/>
    <sheet name="AnomalyFlags" sheetId="2" state="visible" r:id="rId4"/>
    <sheet name="MaterialityTriag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<sst xmlns="http://schemas.openxmlformats.org/spreadsheetml/2006/main" count="410" uniqueCount="152">
  <si>
    <t xml:space="preserve">LUMINA STREAMING CO. — FLUX &amp; VARIANCE ANALYSIS</t>
  </si>
  <si>
    <t xml:space="preserve">Period: November 2026 (Nov-26)  |  Entity: LuminaUS  |  Run: BD4  |  Status: FIRST-PASS — FP&amp;A Manager Review Required</t>
  </si>
  <si>
    <t xml:space="preserve">⚠  Three BvA exceptions | Three MoM exceptions | One anomaly flag (Accrued Marketing) | JE-0042 Saturday posting — see Anomaly Flags sheet</t>
  </si>
  <si>
    <t xml:space="preserve">Acct</t>
  </si>
  <si>
    <t xml:space="preserve">Account Name</t>
  </si>
  <si>
    <t xml:space="preserve">Section</t>
  </si>
  <si>
    <t xml:space="preserve">Entity</t>
  </si>
  <si>
    <t xml:space="preserve">Nov-26 Actual</t>
  </si>
  <si>
    <t xml:space="preserve">Oct-26 Prior</t>
  </si>
  <si>
    <t xml:space="preserve">Nov-26 Budget</t>
  </si>
  <si>
    <t xml:space="preserve">MoM Var $</t>
  </si>
  <si>
    <t xml:space="preserve">MoM Var %</t>
  </si>
  <si>
    <t xml:space="preserve">BvA Var $</t>
  </si>
  <si>
    <t xml:space="preserve">BvA Var %</t>
  </si>
  <si>
    <t xml:space="preserve">Flag</t>
  </si>
  <si>
    <t xml:space="preserve">Commentary (First-Pass)</t>
  </si>
  <si>
    <t xml:space="preserve">400100</t>
  </si>
  <si>
    <t xml:space="preserve">Subscription Revenue</t>
  </si>
  <si>
    <t xml:space="preserve">Revenue</t>
  </si>
  <si>
    <t xml:space="preserve">LuminaUS</t>
  </si>
  <si>
    <t xml:space="preserve">Within threshold — no commentary required.</t>
  </si>
  <si>
    <t xml:space="preserve">LuminaEMEA</t>
  </si>
  <si>
    <t xml:space="preserve">LuminaAPAC</t>
  </si>
  <si>
    <t xml:space="preserve">400200</t>
  </si>
  <si>
    <t xml:space="preserve">Advertising Revenue</t>
  </si>
  <si>
    <t xml:space="preserve">MoM</t>
  </si>
  <si>
    <t xml:space="preserve">Advertising Revenue - US was $4.3M favorable vs. prior month (+15.2%), reflecting a strong November for digital advertising, including new campaigns from Hudson Brands Group, Westcoast Mobility, and Sterling Retail (all current per AR aging). BvA variance of $1.5M is favorable but below the 5% BvA threshold (4.8%), so BvA commentary is not required. Trend is positive; consistent with a content-launch-driven traffic spike driving ad impression volume. No action required.</t>
  </si>
  <si>
    <t xml:space="preserve">MoM, BvA</t>
  </si>
  <si>
    <t xml:space="preserve">Advertising Revenue - APAC was $0.7M unfavorable vs. budget (-17.5%). Revenue came in at $3.3M against a $4.0M plan. MoM improvement of $0.3M (+10%) versus October provides limited offset. Driver not yet attributed — no advertiser-level detail has been provided to the Flux Agent. Possible causes include campaign timing slippage or a deal that closed in December rather than November. FP&amp;A to obtain APAC revenue bridge from regional team before close package assembly. Flagged as unexplained; anomaly flag raised.</t>
  </si>
  <si>
    <t xml:space="preserve">400300</t>
  </si>
  <si>
    <t xml:space="preserve">Other Revenue</t>
  </si>
  <si>
    <t xml:space="preserve">500100</t>
  </si>
  <si>
    <t xml:space="preserve">Content Amortization</t>
  </si>
  <si>
    <t xml:space="preserve">COGS</t>
  </si>
  <si>
    <t xml:space="preserve">500200</t>
  </si>
  <si>
    <t xml:space="preserve">Streaming Delivery (CDN)</t>
  </si>
  <si>
    <t xml:space="preserve">Streaming Delivery (CDN) was $0.8M unfavorable vs. budget (-9.8%) and $0.6M above prior month (+7.1%). The variance is driven by a $0.8M CDN cost accrual for November traffic spikes, booked via JE-2026-11-0041 (supported by INFRA-2026-11-007). Elevated CDN costs are consistent with a content-heavy month and above-budget streaming hours, likely linked to the same Q4 campaign that drove the Marketing - Performance overage. This is a new development vs. October, where CDN was on budget. FP&amp;A to assess whether CDN unit rates have shifted or whether this is a pure volume effect; attribution not fully confirmed pending infrastructure data.</t>
  </si>
  <si>
    <t xml:space="preserve">500300</t>
  </si>
  <si>
    <t xml:space="preserve">Royalties</t>
  </si>
  <si>
    <t xml:space="preserve">500400</t>
  </si>
  <si>
    <t xml:space="preserve">Other COGS</t>
  </si>
  <si>
    <t xml:space="preserve">600100</t>
  </si>
  <si>
    <t xml:space="preserve">Marketing - Performance</t>
  </si>
  <si>
    <t xml:space="preserve">OpEx</t>
  </si>
  <si>
    <t xml:space="preserve">Marketing - Performance was $3.0M unfavorable vs. Nov-26 budget (-20%). The overage reflects accelerated digital spend on Meta and Google platforms tied to the Q4 subscriber acquisition campaign, which launched approximately two weeks ahead of the original plan (confirmed via campaign brief MKT-2026-11-031). Note: (1) JE-2026-11-0042 (Saturday, $1.5M reclass from Marketing to Content Amortization) is under JE review — if reversed, the BvA variance would widen to $4.5M (-30%); (2) A $0.85M stale Oct-26 accrual (ACR-2026-10-12, EX-005 per Rec Agent) that was not reversed overstates this line — pending JE-PROP-005 approval. This timing pull-forward is expected to reduce December spend by a comparable amount. No corrective action required on the campaign spend itself; FP&amp;A Manager to confirm campaign brief documentation and approve commentary before close package assembly.</t>
  </si>
  <si>
    <t xml:space="preserve">600200</t>
  </si>
  <si>
    <t xml:space="preserve">Marketing - Brand</t>
  </si>
  <si>
    <t xml:space="preserve">600300</t>
  </si>
  <si>
    <t xml:space="preserve">Sales Commissions</t>
  </si>
  <si>
    <t xml:space="preserve">Sales Commissions were $0.3M above prior month (+9.4%), driven by higher commission-eligible advertising revenue in November. BvA variance of $0.1M is below threshold; MoM flag only. Commission rates and headcount are unchanged. Variance is in line with the Advertising Revenue outperformance noted above. No action required.</t>
  </si>
  <si>
    <t xml:space="preserve">600400</t>
  </si>
  <si>
    <t xml:space="preserve">Salaries - Engineering</t>
  </si>
  <si>
    <t xml:space="preserve">600500</t>
  </si>
  <si>
    <t xml:space="preserve">Salaries - G&amp;A</t>
  </si>
  <si>
    <t xml:space="preserve">600600</t>
  </si>
  <si>
    <t xml:space="preserve">Tech Infrastructure</t>
  </si>
  <si>
    <t xml:space="preserve">600700</t>
  </si>
  <si>
    <t xml:space="preserve">Professional Fees</t>
  </si>
  <si>
    <t xml:space="preserve">600800</t>
  </si>
  <si>
    <t xml:space="preserve">Travel &amp; Entertainment</t>
  </si>
  <si>
    <t xml:space="preserve">600900</t>
  </si>
  <si>
    <t xml:space="preserve">Office &amp; Facilities</t>
  </si>
  <si>
    <t xml:space="preserve">601000</t>
  </si>
  <si>
    <t xml:space="preserve">Other OpEx</t>
  </si>
  <si>
    <t xml:space="preserve">700100</t>
  </si>
  <si>
    <t xml:space="preserve">Interest Income</t>
  </si>
  <si>
    <t xml:space="preserve">Non-Op</t>
  </si>
  <si>
    <t xml:space="preserve">700200</t>
  </si>
  <si>
    <t xml:space="preserve">Interest Expense</t>
  </si>
  <si>
    <t xml:space="preserve">700300</t>
  </si>
  <si>
    <t xml:space="preserve">FX Gain/Loss</t>
  </si>
  <si>
    <t xml:space="preserve">N/A</t>
  </si>
  <si>
    <t xml:space="preserve">FX Gain/Loss swung $0.65M favorable MoM, from a $0.2M loss in October to a $0.45M gain in November, driven by the revaluation of IC balances (JE-2026-11-0046, supported by FX-2026-11-001). No budget was established for this account; BvA analysis is not applicable. The $0.45M gain is below performance materiality and requires no corrective action, but is noted for CFO reporting given the directional reversal from prior month.</t>
  </si>
  <si>
    <t xml:space="preserve">800100</t>
  </si>
  <si>
    <t xml:space="preserve">Income Tax Expense</t>
  </si>
  <si>
    <t xml:space="preserve">Tax</t>
  </si>
  <si>
    <t xml:space="preserve">FLAG LEGEND</t>
  </si>
  <si>
    <t xml:space="preserve">MoM+BvA</t>
  </si>
  <si>
    <t xml:space="preserve">BvA only</t>
  </si>
  <si>
    <t xml:space="preserve">MoM only</t>
  </si>
  <si>
    <t xml:space="preserve">ANOMALY FLAGS — November 2026 | LuminaUS | Require Human Review Before Commentary Sign-off</t>
  </si>
  <si>
    <t xml:space="preserve">Severity</t>
  </si>
  <si>
    <t xml:space="preserve">Account</t>
  </si>
  <si>
    <t xml:space="preserve">Description</t>
  </si>
  <si>
    <t xml:space="preserve">Source</t>
  </si>
  <si>
    <t xml:space="preserve">HIGH</t>
  </si>
  <si>
    <t xml:space="preserve">210400</t>
  </si>
  <si>
    <t xml:space="preserve">Accrued Marketing</t>
  </si>
  <si>
    <t xml:space="preserve">Accrued Marketing balance jumped $6.6M MoM (from $8.2M to $14.8M), a +80.5% increase. The Nov-26 marketing accrual (ACR-2026-11-06) accounts for $8.45M of the ending balance per JE-2026-11-0040. However, the stale Oct-26 accrual ACR-2026-10-12 ($850K, EX-005 from Rec Agent) was not reversed and still sits in the balance. Combined with the new Nov accrual, this creates potential double-counting risk of $850K. Pending JE-PROP-005 approval. FP&amp;A to verify ending balance ties to accrual schedule before sign-off.</t>
  </si>
  <si>
    <t xml:space="preserve">Reconciliation Agent EX-005 + AccrualSchedule cross-reference</t>
  </si>
  <si>
    <t xml:space="preserve">MEDIUM</t>
  </si>
  <si>
    <t xml:space="preserve">Advertising Revenue - LuminaAPAC</t>
  </si>
  <si>
    <t xml:space="preserve">APAC advertising revenue is $700K below budget (-17.5%) with no attribution available. Driver is unconfirmed. Flagged for FP&amp;A follow-up with APAC regional team.</t>
  </si>
  <si>
    <t xml:space="preserve">BvA triage — attribution unavailable</t>
  </si>
  <si>
    <t xml:space="preserve">JE-2026-11-0042 (Saturday posting, $1.5M reclass, no support doc ref) reduces the reported marketing variance from $4.5M to $3.0M. If the JE Reviewer rejects this entry, the BvA variance widens materially. Flux commentary is based on the adjusted $3.0M figure, contingent on JE-0042 standing.</t>
  </si>
  <si>
    <t xml:space="preserve">JE Log — Saturday posting flag (JE Reviewer scope)</t>
  </si>
  <si>
    <t xml:space="preserve">MATERIALITY TRIAGE — MoM &amp; BvA Trigger Test Results | All IS Accounts</t>
  </si>
  <si>
    <t xml:space="preserve">MoM trigger: |$change| &gt; $250K AND |%change| &gt; 5%   |   BvA trigger: |$variance| &gt; $500K AND |%variance| &gt; 5%   |   Both conditions must be met for commentary requirement</t>
  </si>
  <si>
    <t xml:space="preserve">Name</t>
  </si>
  <si>
    <t xml:space="preserve">MoM $ Pass</t>
  </si>
  <si>
    <t xml:space="preserve">MoM % Pass</t>
  </si>
  <si>
    <t xml:space="preserve">BvA $ Pass</t>
  </si>
  <si>
    <t xml:space="preserve">BvA % Pass</t>
  </si>
  <si>
    <t xml:space="preserve">MoM Flag</t>
  </si>
  <si>
    <t xml:space="preserve">BvA Flag</t>
  </si>
  <si>
    <t xml:space="preserve">$700,000</t>
  </si>
  <si>
    <t xml:space="preserve">1.0%</t>
  </si>
  <si>
    <t xml:space="preserve">$1,700,000</t>
  </si>
  <si>
    <t xml:space="preserve">2.3%</t>
  </si>
  <si>
    <t xml:space="preserve">—</t>
  </si>
  <si>
    <t xml:space="preserve">3.2%</t>
  </si>
  <si>
    <t xml:space="preserve">$800,000</t>
  </si>
  <si>
    <t xml:space="preserve">3.6%</t>
  </si>
  <si>
    <t xml:space="preserve">$200,000</t>
  </si>
  <si>
    <t xml:space="preserve">$500,000</t>
  </si>
  <si>
    <t xml:space="preserve">5.3%</t>
  </si>
  <si>
    <t xml:space="preserve">$4,300,000</t>
  </si>
  <si>
    <t xml:space="preserve">15.2%</t>
  </si>
  <si>
    <t xml:space="preserve">$1,500,000</t>
  </si>
  <si>
    <t xml:space="preserve">4.8%</t>
  </si>
  <si>
    <t xml:space="preserve">✓ MoM</t>
  </si>
  <si>
    <t xml:space="preserve">10.8%</t>
  </si>
  <si>
    <t xml:space="preserve">2.5%</t>
  </si>
  <si>
    <t xml:space="preserve">$300,000</t>
  </si>
  <si>
    <t xml:space="preserve">10.0%</t>
  </si>
  <si>
    <t xml:space="preserve">17.5%</t>
  </si>
  <si>
    <t xml:space="preserve">✓ BvA</t>
  </si>
  <si>
    <t xml:space="preserve">$100,000</t>
  </si>
  <si>
    <t xml:space="preserve">$0</t>
  </si>
  <si>
    <t xml:space="preserve">2.2%</t>
  </si>
  <si>
    <t xml:space="preserve">1.6%</t>
  </si>
  <si>
    <t xml:space="preserve">$600,000</t>
  </si>
  <si>
    <t xml:space="preserve">7.1%</t>
  </si>
  <si>
    <t xml:space="preserve">9.8%</t>
  </si>
  <si>
    <t xml:space="preserve">2.9%</t>
  </si>
  <si>
    <t xml:space="preserve">$50,000</t>
  </si>
  <si>
    <t xml:space="preserve">$3,500,000</t>
  </si>
  <si>
    <t xml:space="preserve">24.1%</t>
  </si>
  <si>
    <t xml:space="preserve">$3,000,000</t>
  </si>
  <si>
    <t xml:space="preserve">20.0%</t>
  </si>
  <si>
    <t xml:space="preserve">9.4%</t>
  </si>
  <si>
    <t xml:space="preserve">0.7%</t>
  </si>
  <si>
    <t xml:space="preserve">3.4%</t>
  </si>
  <si>
    <t xml:space="preserve">1.4%</t>
  </si>
  <si>
    <t xml:space="preserve">2.0%</t>
  </si>
  <si>
    <t xml:space="preserve">9.1%</t>
  </si>
  <si>
    <t xml:space="preserve">6.7%</t>
  </si>
  <si>
    <t xml:space="preserve">11.1%</t>
  </si>
  <si>
    <t xml:space="preserve">$650,000</t>
  </si>
  <si>
    <t xml:space="preserve">325.0%</t>
  </si>
  <si>
    <t xml:space="preserve">$450,000</t>
  </si>
  <si>
    <t xml:space="preserve">4.6%</t>
  </si>
</sst>
</file>

<file path=xl/styles.xml><?xml version="1.0" encoding="utf-8"?>
<styleSheet xmlns="http://schemas.openxmlformats.org/spreadsheetml/2006/main">
  <numFmts count="3">
    <numFmt numFmtId="164" formatCode="General"/>
    <numFmt numFmtId="165" formatCode="\$#,##0_);&quot;($&quot;#,##0\)"/>
    <numFmt numFmtId="166"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FFFFFF"/>
      <name val="Arial"/>
      <family val="0"/>
      <charset val="1"/>
    </font>
    <font>
      <b val="true"/>
      <sz val="9"/>
      <color rgb="FF7B2800"/>
      <name val="Arial"/>
      <family val="0"/>
      <charset val="1"/>
    </font>
    <font>
      <b val="true"/>
      <sz val="10"/>
      <color rgb="FFFFFFFF"/>
      <name val="Arial"/>
      <family val="0"/>
      <charset val="1"/>
    </font>
    <font>
      <sz val="9"/>
      <color rgb="FF000000"/>
      <name val="Arial"/>
      <family val="0"/>
      <charset val="1"/>
    </font>
    <font>
      <sz val="9"/>
      <color rgb="FFC00000"/>
      <name val="Arial"/>
      <family val="0"/>
      <charset val="1"/>
    </font>
    <font>
      <b val="true"/>
      <sz val="9"/>
      <color rgb="FF000000"/>
      <name val="Arial"/>
      <family val="0"/>
      <charset val="1"/>
    </font>
    <font>
      <b val="true"/>
      <sz val="9"/>
      <color rgb="FF004B8D"/>
      <name val="Arial"/>
      <family val="0"/>
      <charset val="1"/>
    </font>
    <font>
      <b val="true"/>
      <sz val="9"/>
      <color rgb="FFC00000"/>
      <name val="Arial"/>
      <family val="0"/>
      <charset val="1"/>
    </font>
    <font>
      <b val="true"/>
      <sz val="9"/>
      <name val="Arial"/>
      <family val="0"/>
      <charset val="1"/>
    </font>
    <font>
      <b val="true"/>
      <sz val="9"/>
      <color rgb="FFCC5500"/>
      <name val="Arial"/>
      <family val="0"/>
      <charset val="1"/>
    </font>
    <font>
      <b val="true"/>
      <sz val="12"/>
      <color rgb="FFFFFFFF"/>
      <name val="Arial"/>
      <family val="0"/>
      <charset val="1"/>
    </font>
    <font>
      <b val="true"/>
      <sz val="9"/>
      <color rgb="FFFF9900"/>
      <name val="Arial"/>
      <family val="0"/>
      <charset val="1"/>
    </font>
    <font>
      <i val="true"/>
      <sz val="9"/>
      <color rgb="FF595959"/>
      <name val="Arial"/>
      <family val="0"/>
      <charset val="1"/>
    </font>
    <font>
      <sz val="9"/>
      <color rgb="FF375623"/>
      <name val="Arial"/>
      <family val="0"/>
      <charset val="1"/>
    </font>
    <font>
      <b val="true"/>
      <sz val="9"/>
      <color rgb="FF375623"/>
      <name val="Arial"/>
      <family val="0"/>
      <charset val="1"/>
    </font>
  </fonts>
  <fills count="17">
    <fill>
      <patternFill patternType="none"/>
    </fill>
    <fill>
      <patternFill patternType="gray125"/>
    </fill>
    <fill>
      <patternFill patternType="solid">
        <fgColor rgb="FF1E2761"/>
        <bgColor rgb="FF333399"/>
      </patternFill>
    </fill>
    <fill>
      <patternFill patternType="solid">
        <fgColor rgb="FF595959"/>
        <bgColor rgb="FF375623"/>
      </patternFill>
    </fill>
    <fill>
      <patternFill patternType="solid">
        <fgColor rgb="FFFFEB9C"/>
        <bgColor rgb="FFFFDDC0"/>
      </patternFill>
    </fill>
    <fill>
      <patternFill patternType="solid">
        <fgColor rgb="FFE8F4FD"/>
        <bgColor rgb="FFF0F0F0"/>
      </patternFill>
    </fill>
    <fill>
      <patternFill patternType="solid">
        <fgColor rgb="FFFFF9E6"/>
        <bgColor rgb="FFFFFFFF"/>
      </patternFill>
    </fill>
    <fill>
      <patternFill patternType="solid">
        <fgColor rgb="FFFFCCCC"/>
        <bgColor rgb="FFFFC7CE"/>
      </patternFill>
    </fill>
    <fill>
      <patternFill patternType="solid">
        <fgColor rgb="FFFFF3CD"/>
        <bgColor rgb="FFFFF9E6"/>
      </patternFill>
    </fill>
    <fill>
      <patternFill patternType="solid">
        <fgColor rgb="FFFDE9E9"/>
        <bgColor rgb="FFF0F0F0"/>
      </patternFill>
    </fill>
    <fill>
      <patternFill patternType="solid">
        <fgColor rgb="FFEEE8F8"/>
        <bgColor rgb="FFF0F0F0"/>
      </patternFill>
    </fill>
    <fill>
      <patternFill patternType="solid">
        <fgColor rgb="FFF0F0F0"/>
        <bgColor rgb="FFEEE8F8"/>
      </patternFill>
    </fill>
    <fill>
      <patternFill patternType="solid">
        <fgColor rgb="FFFFDDC0"/>
        <bgColor rgb="FFFFCCCC"/>
      </patternFill>
    </fill>
    <fill>
      <patternFill patternType="solid">
        <fgColor rgb="FFC00000"/>
        <bgColor rgb="FF800000"/>
      </patternFill>
    </fill>
    <fill>
      <patternFill patternType="solid">
        <fgColor rgb="FFFFC7CE"/>
        <bgColor rgb="FFFFCCCC"/>
      </patternFill>
    </fill>
    <fill>
      <patternFill patternType="solid">
        <fgColor rgb="FFFFFFFF"/>
        <bgColor rgb="FFFFF9E6"/>
      </patternFill>
    </fill>
    <fill>
      <patternFill patternType="solid">
        <fgColor rgb="FFD4EDDA"/>
        <bgColor rgb="FFE8F4F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5" fontId="8" fillId="5" borderId="1" xfId="0" applyFont="true" applyBorder="true" applyAlignment="true" applyProtection="false">
      <alignment horizontal="right" vertical="top" textRotation="0" wrapText="false" indent="0" shrinkToFit="false"/>
      <protection locked="true" hidden="false"/>
    </xf>
    <xf numFmtId="166" fontId="8" fillId="5" borderId="1" xfId="0" applyFont="true" applyBorder="true" applyAlignment="true" applyProtection="false">
      <alignment horizontal="right" vertical="top" textRotation="0" wrapText="fals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false" indent="0" shrinkToFit="false"/>
      <protection locked="true" hidden="false"/>
    </xf>
    <xf numFmtId="165" fontId="9" fillId="5" borderId="1" xfId="0" applyFont="true" applyBorder="true" applyAlignment="true" applyProtection="false">
      <alignment horizontal="right" vertical="top" textRotation="0" wrapText="false" indent="0" shrinkToFit="false"/>
      <protection locked="true" hidden="false"/>
    </xf>
    <xf numFmtId="166" fontId="9" fillId="5" borderId="1" xfId="0" applyFont="true" applyBorder="true" applyAlignment="true" applyProtection="false">
      <alignment horizontal="right" vertical="top" textRotation="0" wrapText="fals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false" indent="0" shrinkToFit="false"/>
      <protection locked="true" hidden="false"/>
    </xf>
    <xf numFmtId="165" fontId="8" fillId="6" borderId="1" xfId="0" applyFont="true" applyBorder="true" applyAlignment="true" applyProtection="false">
      <alignment horizontal="right" vertical="top" textRotation="0" wrapText="false" indent="0" shrinkToFit="false"/>
      <protection locked="true" hidden="false"/>
    </xf>
    <xf numFmtId="165" fontId="10" fillId="6" borderId="1" xfId="0" applyFont="true" applyBorder="true" applyAlignment="true" applyProtection="false">
      <alignment horizontal="right" vertical="top" textRotation="0" wrapText="false" indent="0" shrinkToFit="false"/>
      <protection locked="true" hidden="false"/>
    </xf>
    <xf numFmtId="166" fontId="10" fillId="6" borderId="1" xfId="0" applyFont="true" applyBorder="true" applyAlignment="true" applyProtection="false">
      <alignment horizontal="right" vertical="top" textRotation="0" wrapText="fals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false" indent="0" shrinkToFit="false"/>
      <protection locked="true" hidden="false"/>
    </xf>
    <xf numFmtId="165" fontId="9" fillId="6" borderId="1" xfId="0" applyFont="true" applyBorder="true" applyAlignment="true" applyProtection="false">
      <alignment horizontal="right" vertical="top" textRotation="0" wrapText="false" indent="0" shrinkToFit="false"/>
      <protection locked="true" hidden="false"/>
    </xf>
    <xf numFmtId="166" fontId="12" fillId="6" borderId="1" xfId="0" applyFont="true" applyBorder="true" applyAlignment="true" applyProtection="false">
      <alignment horizontal="right" vertical="top" textRotation="0" wrapText="false" indent="0" shrinkToFit="false"/>
      <protection locked="true" hidden="false"/>
    </xf>
    <xf numFmtId="165" fontId="12" fillId="6" borderId="1" xfId="0" applyFont="true" applyBorder="true" applyAlignment="true" applyProtection="false">
      <alignment horizontal="right" vertical="top" textRotation="0" wrapText="false" indent="0" shrinkToFit="false"/>
      <protection locked="true" hidden="false"/>
    </xf>
    <xf numFmtId="164" fontId="12" fillId="7" borderId="1" xfId="0" applyFont="true" applyBorder="true" applyAlignment="true" applyProtection="false">
      <alignment horizontal="center" vertical="top" textRotation="0" wrapText="fals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false" indent="0" shrinkToFit="false"/>
      <protection locked="true" hidden="false"/>
    </xf>
    <xf numFmtId="165" fontId="9" fillId="8" borderId="1" xfId="0" applyFont="true" applyBorder="true" applyAlignment="true" applyProtection="false">
      <alignment horizontal="right" vertical="top" textRotation="0" wrapText="false" indent="0" shrinkToFit="false"/>
      <protection locked="true" hidden="false"/>
    </xf>
    <xf numFmtId="166" fontId="9" fillId="8" borderId="1" xfId="0" applyFont="true" applyBorder="true" applyAlignment="true" applyProtection="false">
      <alignment horizontal="right" vertical="top" textRotation="0" wrapText="fals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false" indent="0" shrinkToFit="false"/>
      <protection locked="true" hidden="false"/>
    </xf>
    <xf numFmtId="165" fontId="9" fillId="9" borderId="1" xfId="0" applyFont="true" applyBorder="true" applyAlignment="true" applyProtection="false">
      <alignment horizontal="right" vertical="top" textRotation="0" wrapText="false" indent="0" shrinkToFit="false"/>
      <protection locked="true" hidden="false"/>
    </xf>
    <xf numFmtId="166" fontId="9" fillId="9" borderId="1" xfId="0" applyFont="true" applyBorder="true" applyAlignment="true" applyProtection="false">
      <alignment horizontal="right" vertical="top" textRotation="0" wrapText="fals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false" indent="0" shrinkToFit="false"/>
      <protection locked="true" hidden="false"/>
    </xf>
    <xf numFmtId="165" fontId="8" fillId="9" borderId="1" xfId="0" applyFont="true" applyBorder="true" applyAlignment="true" applyProtection="false">
      <alignment horizontal="right" vertical="top" textRotation="0" wrapText="false" indent="0" shrinkToFit="false"/>
      <protection locked="true" hidden="false"/>
    </xf>
    <xf numFmtId="166" fontId="8" fillId="9" borderId="1" xfId="0" applyFont="true" applyBorder="true" applyAlignment="true" applyProtection="false">
      <alignment horizontal="right" vertical="top" textRotation="0" wrapText="false" indent="0" shrinkToFit="false"/>
      <protection locked="true" hidden="false"/>
    </xf>
    <xf numFmtId="164" fontId="9" fillId="10" borderId="1" xfId="0" applyFont="true" applyBorder="true" applyAlignment="true" applyProtection="false">
      <alignment horizontal="left" vertical="top" textRotation="0" wrapText="true" indent="0" shrinkToFit="false"/>
      <protection locked="true" hidden="false"/>
    </xf>
    <xf numFmtId="164" fontId="9" fillId="10" borderId="1" xfId="0" applyFont="true" applyBorder="true" applyAlignment="true" applyProtection="false">
      <alignment horizontal="center" vertical="top" textRotation="0" wrapText="false" indent="0" shrinkToFit="false"/>
      <protection locked="true" hidden="false"/>
    </xf>
    <xf numFmtId="165" fontId="9" fillId="10" borderId="1" xfId="0" applyFont="true" applyBorder="true" applyAlignment="true" applyProtection="false">
      <alignment horizontal="right" vertical="top" textRotation="0" wrapText="false" indent="0" shrinkToFit="false"/>
      <protection locked="true" hidden="false"/>
    </xf>
    <xf numFmtId="166" fontId="9" fillId="10" borderId="1" xfId="0" applyFont="true" applyBorder="true" applyAlignment="true" applyProtection="false">
      <alignment horizontal="right" vertical="top" textRotation="0" wrapText="fals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false" indent="0" shrinkToFit="false"/>
      <protection locked="true" hidden="false"/>
    </xf>
    <xf numFmtId="165" fontId="8" fillId="11" borderId="1" xfId="0" applyFont="true" applyBorder="true" applyAlignment="true" applyProtection="false">
      <alignment horizontal="right" vertical="top" textRotation="0" wrapText="false" indent="0" shrinkToFit="false"/>
      <protection locked="true" hidden="false"/>
    </xf>
    <xf numFmtId="165" fontId="9" fillId="11" borderId="1" xfId="0" applyFont="true" applyBorder="true" applyAlignment="true" applyProtection="false">
      <alignment horizontal="right" vertical="top" textRotation="0" wrapText="false" indent="0" shrinkToFit="false"/>
      <protection locked="true" hidden="false"/>
    </xf>
    <xf numFmtId="166" fontId="8" fillId="11" borderId="1" xfId="0" applyFont="true" applyBorder="true" applyAlignment="true" applyProtection="false">
      <alignment horizontal="right" vertical="top"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true" applyProtection="false">
      <alignment horizontal="center" vertical="bottom" textRotation="0" wrapText="false" indent="0" shrinkToFit="false"/>
      <protection locked="true" hidden="false"/>
    </xf>
    <xf numFmtId="164" fontId="14" fillId="12"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5" fillId="13" borderId="0" xfId="0" applyFont="true" applyBorder="true" applyAlignment="true" applyProtection="false">
      <alignment horizontal="center" vertical="center" textRotation="0" wrapText="false" indent="0" shrinkToFit="false"/>
      <protection locked="true" hidden="false"/>
    </xf>
    <xf numFmtId="164" fontId="12" fillId="14" borderId="1" xfId="0" applyFont="true" applyBorder="true" applyAlignment="true" applyProtection="false">
      <alignment horizontal="center" vertical="top" textRotation="0" wrapText="true" indent="0" shrinkToFit="false"/>
      <protection locked="true" hidden="false"/>
    </xf>
    <xf numFmtId="164" fontId="9" fillId="14" borderId="1" xfId="0" applyFont="true" applyBorder="true" applyAlignment="true" applyProtection="false">
      <alignment horizontal="center" vertical="top" textRotation="0" wrapText="true" indent="0" shrinkToFit="false"/>
      <protection locked="true" hidden="false"/>
    </xf>
    <xf numFmtId="164" fontId="9" fillId="1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8" fillId="15" borderId="1" xfId="0" applyFont="true" applyBorder="true" applyAlignment="true" applyProtection="false">
      <alignment horizontal="left" vertical="center" textRotation="0" wrapText="false" indent="0" shrinkToFit="false"/>
      <protection locked="true" hidden="false"/>
    </xf>
    <xf numFmtId="164" fontId="18" fillId="16" borderId="1" xfId="0" applyFont="true" applyBorder="true" applyAlignment="true" applyProtection="false">
      <alignment horizontal="right" vertical="center" textRotation="0" wrapText="false" indent="0" shrinkToFit="false"/>
      <protection locked="true" hidden="false"/>
    </xf>
    <xf numFmtId="164" fontId="8" fillId="15" borderId="1" xfId="0" applyFont="true" applyBorder="true" applyAlignment="true" applyProtection="false">
      <alignment horizontal="right" vertical="center" textRotation="0" wrapText="false" indent="0" shrinkToFit="false"/>
      <protection locked="true" hidden="false"/>
    </xf>
    <xf numFmtId="164" fontId="19" fillId="16"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9E6"/>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E8F4FD"/>
      <rgbColor rgb="FF660066"/>
      <rgbColor rgb="FFFF8080"/>
      <rgbColor rgb="FF004B8D"/>
      <rgbColor rgb="FFEEE8F8"/>
      <rgbColor rgb="FF000080"/>
      <rgbColor rgb="FFFF00FF"/>
      <rgbColor rgb="FFFFFF00"/>
      <rgbColor rgb="FF00FFFF"/>
      <rgbColor rgb="FF800080"/>
      <rgbColor rgb="FF800000"/>
      <rgbColor rgb="FF008080"/>
      <rgbColor rgb="FF0000FF"/>
      <rgbColor rgb="FF00CCFF"/>
      <rgbColor rgb="FFF0F0F0"/>
      <rgbColor rgb="FFD4EDDA"/>
      <rgbColor rgb="FFFFEB9C"/>
      <rgbColor rgb="FFFDE9E9"/>
      <rgbColor rgb="FFFFC7CE"/>
      <rgbColor rgb="FFFFDDC0"/>
      <rgbColor rgb="FFFFCCCC"/>
      <rgbColor rgb="FF3366FF"/>
      <rgbColor rgb="FF33CCCC"/>
      <rgbColor rgb="FF99CC00"/>
      <rgbColor rgb="FFFFCC00"/>
      <rgbColor rgb="FFFF9900"/>
      <rgbColor rgb="FFCC5500"/>
      <rgbColor rgb="FF595959"/>
      <rgbColor rgb="FF969696"/>
      <rgbColor rgb="FF1E2761"/>
      <rgbColor rgb="FF339966"/>
      <rgbColor rgb="FF003300"/>
      <rgbColor rgb="FF333300"/>
      <rgbColor rgb="FF7B28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8"/>
    <col collapsed="false" customWidth="true" hidden="false" outlineLevel="0" max="4" min="4" style="0" width="12"/>
    <col collapsed="false" customWidth="true" hidden="false" outlineLevel="0" max="8" min="5" style="0" width="14"/>
    <col collapsed="false" customWidth="true" hidden="false" outlineLevel="0" max="9" min="9" style="0" width="10"/>
    <col collapsed="false" customWidth="true" hidden="false" outlineLevel="0" max="10" min="10" style="0" width="14"/>
    <col collapsed="false" customWidth="true" hidden="false" outlineLevel="0" max="12" min="11" style="0" width="10"/>
    <col collapsed="false" customWidth="true" hidden="false" outlineLevel="0" max="13" min="13" style="0" width="60"/>
  </cols>
  <sheetData>
    <row r="1" customFormat="false" ht="27.75" hidden="false" customHeight="true" outlineLevel="0" collapsed="false">
      <c r="A1" s="1" t="s">
        <v>0</v>
      </c>
      <c r="B1" s="1"/>
      <c r="C1" s="1"/>
      <c r="D1" s="1"/>
      <c r="E1" s="1"/>
      <c r="F1" s="1"/>
      <c r="G1" s="1"/>
      <c r="H1" s="1"/>
      <c r="I1" s="1"/>
      <c r="J1" s="1"/>
      <c r="K1" s="1"/>
      <c r="L1" s="1"/>
    </row>
    <row r="2" customFormat="false" ht="15.75" hidden="false" customHeight="true" outlineLevel="0" collapsed="false">
      <c r="A2" s="2" t="s">
        <v>1</v>
      </c>
      <c r="B2" s="2"/>
      <c r="C2" s="2"/>
      <c r="D2" s="2"/>
      <c r="E2" s="2"/>
      <c r="F2" s="2"/>
      <c r="G2" s="2"/>
      <c r="H2" s="2"/>
      <c r="I2" s="2"/>
      <c r="J2" s="2"/>
      <c r="K2" s="2"/>
      <c r="L2" s="2"/>
    </row>
    <row r="3" customFormat="false" ht="15.75" hidden="false" customHeight="true" outlineLevel="0" collapsed="false">
      <c r="A3" s="3" t="s">
        <v>2</v>
      </c>
      <c r="B3" s="3"/>
      <c r="C3" s="3"/>
      <c r="D3" s="3"/>
      <c r="E3" s="3"/>
      <c r="F3" s="3"/>
      <c r="G3" s="3"/>
      <c r="H3" s="3"/>
      <c r="I3" s="3"/>
      <c r="J3" s="3"/>
      <c r="K3" s="3"/>
      <c r="L3" s="3"/>
    </row>
    <row r="4" customFormat="false" ht="36" hidden="false" customHeight="true" outlineLevel="0" collapsed="false">
      <c r="A4" s="4" t="s">
        <v>3</v>
      </c>
      <c r="B4" s="4" t="s">
        <v>4</v>
      </c>
      <c r="C4" s="4" t="s">
        <v>5</v>
      </c>
      <c r="D4" s="4" t="s">
        <v>6</v>
      </c>
      <c r="E4" s="4" t="s">
        <v>7</v>
      </c>
      <c r="F4" s="4" t="s">
        <v>8</v>
      </c>
      <c r="G4" s="4" t="s">
        <v>9</v>
      </c>
      <c r="H4" s="4" t="s">
        <v>10</v>
      </c>
      <c r="I4" s="4" t="s">
        <v>11</v>
      </c>
      <c r="J4" s="4" t="s">
        <v>12</v>
      </c>
      <c r="K4" s="4" t="s">
        <v>13</v>
      </c>
      <c r="L4" s="4" t="s">
        <v>14</v>
      </c>
      <c r="M4" s="4" t="s">
        <v>15</v>
      </c>
    </row>
    <row r="5" customFormat="false" ht="18" hidden="false" customHeight="true" outlineLevel="0" collapsed="false">
      <c r="A5" s="5" t="s">
        <v>16</v>
      </c>
      <c r="B5" s="5" t="s">
        <v>17</v>
      </c>
      <c r="C5" s="6" t="s">
        <v>18</v>
      </c>
      <c r="D5" s="6" t="s">
        <v>19</v>
      </c>
      <c r="E5" s="7" t="n">
        <v>74200000</v>
      </c>
      <c r="F5" s="7" t="n">
        <v>73500000</v>
      </c>
      <c r="G5" s="7" t="n">
        <v>72500000</v>
      </c>
      <c r="H5" s="7" t="n">
        <v>700000</v>
      </c>
      <c r="I5" s="8" t="n">
        <f aca="false">H5/F5</f>
        <v>0.00952380952380953</v>
      </c>
      <c r="J5" s="7" t="n">
        <v>1700000</v>
      </c>
      <c r="K5" s="8" t="n">
        <f aca="false">J5/G5</f>
        <v>0.023448275862069</v>
      </c>
      <c r="L5" s="6"/>
      <c r="M5" s="5" t="s">
        <v>20</v>
      </c>
    </row>
    <row r="6" customFormat="false" ht="18" hidden="false" customHeight="true" outlineLevel="0" collapsed="false">
      <c r="A6" s="5" t="s">
        <v>16</v>
      </c>
      <c r="B6" s="5" t="s">
        <v>17</v>
      </c>
      <c r="C6" s="6" t="s">
        <v>18</v>
      </c>
      <c r="D6" s="6" t="s">
        <v>21</v>
      </c>
      <c r="E6" s="7" t="n">
        <v>22800000</v>
      </c>
      <c r="F6" s="7" t="n">
        <v>22100000</v>
      </c>
      <c r="G6" s="7" t="n">
        <v>22000000</v>
      </c>
      <c r="H6" s="7" t="n">
        <v>700000</v>
      </c>
      <c r="I6" s="8" t="n">
        <f aca="false">H6/F6</f>
        <v>0.0316742081447964</v>
      </c>
      <c r="J6" s="7" t="n">
        <v>800000</v>
      </c>
      <c r="K6" s="8" t="n">
        <f aca="false">J6/G6</f>
        <v>0.0363636363636364</v>
      </c>
      <c r="L6" s="6"/>
      <c r="M6" s="5" t="s">
        <v>20</v>
      </c>
    </row>
    <row r="7" customFormat="false" ht="18" hidden="false" customHeight="true" outlineLevel="0" collapsed="false">
      <c r="A7" s="9" t="s">
        <v>16</v>
      </c>
      <c r="B7" s="9" t="s">
        <v>17</v>
      </c>
      <c r="C7" s="10" t="s">
        <v>18</v>
      </c>
      <c r="D7" s="10" t="s">
        <v>22</v>
      </c>
      <c r="E7" s="11" t="n">
        <v>9000000</v>
      </c>
      <c r="F7" s="11" t="n">
        <v>8800000</v>
      </c>
      <c r="G7" s="11" t="n">
        <v>9500000</v>
      </c>
      <c r="H7" s="7" t="n">
        <v>200000</v>
      </c>
      <c r="I7" s="12" t="n">
        <f aca="false">H7/F7</f>
        <v>0.0227272727272727</v>
      </c>
      <c r="J7" s="11" t="n">
        <v>-500000</v>
      </c>
      <c r="K7" s="12" t="n">
        <f aca="false">J7/G7</f>
        <v>-0.0526315789473684</v>
      </c>
      <c r="L7" s="10"/>
      <c r="M7" s="9" t="s">
        <v>20</v>
      </c>
    </row>
    <row r="8" customFormat="false" ht="72" hidden="false" customHeight="true" outlineLevel="0" collapsed="false">
      <c r="A8" s="13" t="s">
        <v>23</v>
      </c>
      <c r="B8" s="14" t="s">
        <v>24</v>
      </c>
      <c r="C8" s="15" t="s">
        <v>18</v>
      </c>
      <c r="D8" s="15" t="s">
        <v>19</v>
      </c>
      <c r="E8" s="16" t="n">
        <v>32500000</v>
      </c>
      <c r="F8" s="16" t="n">
        <v>28200000</v>
      </c>
      <c r="G8" s="16" t="n">
        <v>31000000</v>
      </c>
      <c r="H8" s="17" t="n">
        <v>4300000</v>
      </c>
      <c r="I8" s="18" t="n">
        <f aca="false">H8/F8</f>
        <v>0.152482269503546</v>
      </c>
      <c r="J8" s="17" t="n">
        <v>1500000</v>
      </c>
      <c r="K8" s="18" t="n">
        <f aca="false">J8/G8</f>
        <v>0.0483870967741936</v>
      </c>
      <c r="L8" s="19" t="s">
        <v>25</v>
      </c>
      <c r="M8" s="13" t="s">
        <v>26</v>
      </c>
    </row>
    <row r="9" customFormat="false" ht="72" hidden="false" customHeight="true" outlineLevel="0" collapsed="false">
      <c r="A9" s="13" t="s">
        <v>23</v>
      </c>
      <c r="B9" s="14" t="s">
        <v>24</v>
      </c>
      <c r="C9" s="15" t="s">
        <v>18</v>
      </c>
      <c r="D9" s="15" t="s">
        <v>21</v>
      </c>
      <c r="E9" s="16" t="n">
        <v>8200000</v>
      </c>
      <c r="F9" s="16" t="n">
        <v>7400000</v>
      </c>
      <c r="G9" s="16" t="n">
        <v>8000000</v>
      </c>
      <c r="H9" s="17" t="n">
        <v>800000</v>
      </c>
      <c r="I9" s="18" t="n">
        <f aca="false">H9/F9</f>
        <v>0.108108108108108</v>
      </c>
      <c r="J9" s="17" t="n">
        <v>200000</v>
      </c>
      <c r="K9" s="18" t="n">
        <f aca="false">J9/G9</f>
        <v>0.025</v>
      </c>
      <c r="L9" s="19" t="s">
        <v>25</v>
      </c>
      <c r="M9" s="13" t="s">
        <v>20</v>
      </c>
    </row>
    <row r="10" customFormat="false" ht="72" hidden="false" customHeight="true" outlineLevel="0" collapsed="false">
      <c r="A10" s="20" t="s">
        <v>23</v>
      </c>
      <c r="B10" s="21" t="s">
        <v>24</v>
      </c>
      <c r="C10" s="22" t="s">
        <v>18</v>
      </c>
      <c r="D10" s="22" t="s">
        <v>22</v>
      </c>
      <c r="E10" s="23" t="n">
        <v>3300000</v>
      </c>
      <c r="F10" s="23" t="n">
        <v>3000000</v>
      </c>
      <c r="G10" s="23" t="n">
        <v>4000000</v>
      </c>
      <c r="H10" s="17" t="n">
        <v>300000</v>
      </c>
      <c r="I10" s="24" t="n">
        <f aca="false">H10/F10</f>
        <v>0.1</v>
      </c>
      <c r="J10" s="25" t="n">
        <v>-700000</v>
      </c>
      <c r="K10" s="24" t="n">
        <f aca="false">J10/G10</f>
        <v>-0.175</v>
      </c>
      <c r="L10" s="26" t="s">
        <v>27</v>
      </c>
      <c r="M10" s="20" t="s">
        <v>28</v>
      </c>
    </row>
    <row r="11" customFormat="false" ht="18" hidden="false" customHeight="true" outlineLevel="0" collapsed="false">
      <c r="A11" s="9" t="s">
        <v>29</v>
      </c>
      <c r="B11" s="9" t="s">
        <v>30</v>
      </c>
      <c r="C11" s="10" t="s">
        <v>18</v>
      </c>
      <c r="D11" s="10" t="s">
        <v>19</v>
      </c>
      <c r="E11" s="11" t="n">
        <v>2000000</v>
      </c>
      <c r="F11" s="11" t="n">
        <v>1900000</v>
      </c>
      <c r="G11" s="11" t="n">
        <v>2000000</v>
      </c>
      <c r="H11" s="7" t="n">
        <v>100000</v>
      </c>
      <c r="I11" s="12" t="n">
        <f aca="false">H11/F11</f>
        <v>0.0526315789473684</v>
      </c>
      <c r="J11" s="11" t="n">
        <v>0</v>
      </c>
      <c r="K11" s="12" t="n">
        <f aca="false">J11/G11</f>
        <v>0</v>
      </c>
      <c r="L11" s="10"/>
      <c r="M11" s="9" t="s">
        <v>20</v>
      </c>
    </row>
    <row r="12" customFormat="false" ht="18" hidden="false" customHeight="true" outlineLevel="0" collapsed="false">
      <c r="A12" s="27" t="s">
        <v>31</v>
      </c>
      <c r="B12" s="27" t="s">
        <v>32</v>
      </c>
      <c r="C12" s="28" t="s">
        <v>33</v>
      </c>
      <c r="D12" s="28" t="s">
        <v>19</v>
      </c>
      <c r="E12" s="29" t="n">
        <v>32500000</v>
      </c>
      <c r="F12" s="29" t="n">
        <v>31800000</v>
      </c>
      <c r="G12" s="29" t="n">
        <v>32000000</v>
      </c>
      <c r="H12" s="29" t="n">
        <v>700000</v>
      </c>
      <c r="I12" s="30" t="n">
        <f aca="false">H12/F12</f>
        <v>0.0220125786163522</v>
      </c>
      <c r="J12" s="29" t="n">
        <v>-500000</v>
      </c>
      <c r="K12" s="30" t="n">
        <f aca="false">J12/G12</f>
        <v>-0.015625</v>
      </c>
      <c r="L12" s="28"/>
      <c r="M12" s="27" t="s">
        <v>20</v>
      </c>
    </row>
    <row r="13" customFormat="false" ht="72" hidden="false" customHeight="true" outlineLevel="0" collapsed="false">
      <c r="A13" s="20" t="s">
        <v>34</v>
      </c>
      <c r="B13" s="21" t="s">
        <v>35</v>
      </c>
      <c r="C13" s="22" t="s">
        <v>33</v>
      </c>
      <c r="D13" s="22" t="s">
        <v>19</v>
      </c>
      <c r="E13" s="23" t="n">
        <v>9000000</v>
      </c>
      <c r="F13" s="23" t="n">
        <v>8400000</v>
      </c>
      <c r="G13" s="23" t="n">
        <v>8200000</v>
      </c>
      <c r="H13" s="25" t="n">
        <v>600000</v>
      </c>
      <c r="I13" s="24" t="n">
        <f aca="false">H13/F13</f>
        <v>0.0714285714285714</v>
      </c>
      <c r="J13" s="25" t="n">
        <v>-800000</v>
      </c>
      <c r="K13" s="24" t="n">
        <f aca="false">J13/G13</f>
        <v>-0.0975609756097561</v>
      </c>
      <c r="L13" s="26" t="s">
        <v>27</v>
      </c>
      <c r="M13" s="20" t="s">
        <v>36</v>
      </c>
    </row>
    <row r="14" customFormat="false" ht="18" hidden="false" customHeight="true" outlineLevel="0" collapsed="false">
      <c r="A14" s="27" t="s">
        <v>37</v>
      </c>
      <c r="B14" s="27" t="s">
        <v>38</v>
      </c>
      <c r="C14" s="28" t="s">
        <v>33</v>
      </c>
      <c r="D14" s="28" t="s">
        <v>19</v>
      </c>
      <c r="E14" s="29" t="n">
        <v>3500000</v>
      </c>
      <c r="F14" s="29" t="n">
        <v>3400000</v>
      </c>
      <c r="G14" s="29" t="n">
        <v>3500000</v>
      </c>
      <c r="H14" s="29" t="n">
        <v>100000</v>
      </c>
      <c r="I14" s="30" t="n">
        <f aca="false">H14/F14</f>
        <v>0.0294117647058824</v>
      </c>
      <c r="J14" s="29" t="n">
        <v>0</v>
      </c>
      <c r="K14" s="30" t="n">
        <f aca="false">J14/G14</f>
        <v>0</v>
      </c>
      <c r="L14" s="28"/>
      <c r="M14" s="27" t="s">
        <v>20</v>
      </c>
    </row>
    <row r="15" customFormat="false" ht="18" hidden="false" customHeight="true" outlineLevel="0" collapsed="false">
      <c r="A15" s="27" t="s">
        <v>39</v>
      </c>
      <c r="B15" s="27" t="s">
        <v>40</v>
      </c>
      <c r="C15" s="28" t="s">
        <v>33</v>
      </c>
      <c r="D15" s="28" t="s">
        <v>19</v>
      </c>
      <c r="E15" s="29" t="n">
        <v>1100000</v>
      </c>
      <c r="F15" s="29" t="n">
        <v>1050000</v>
      </c>
      <c r="G15" s="29" t="n">
        <v>1100000</v>
      </c>
      <c r="H15" s="29" t="n">
        <v>50000</v>
      </c>
      <c r="I15" s="30" t="n">
        <f aca="false">H15/F15</f>
        <v>0.0476190476190476</v>
      </c>
      <c r="J15" s="29" t="n">
        <v>0</v>
      </c>
      <c r="K15" s="30" t="n">
        <f aca="false">J15/G15</f>
        <v>0</v>
      </c>
      <c r="L15" s="28"/>
      <c r="M15" s="27" t="s">
        <v>20</v>
      </c>
    </row>
    <row r="16" customFormat="false" ht="72" hidden="false" customHeight="true" outlineLevel="0" collapsed="false">
      <c r="A16" s="20" t="s">
        <v>41</v>
      </c>
      <c r="B16" s="21" t="s">
        <v>42</v>
      </c>
      <c r="C16" s="22" t="s">
        <v>43</v>
      </c>
      <c r="D16" s="22" t="s">
        <v>19</v>
      </c>
      <c r="E16" s="23" t="n">
        <v>18000000</v>
      </c>
      <c r="F16" s="23" t="n">
        <v>14500000</v>
      </c>
      <c r="G16" s="23" t="n">
        <v>15000000</v>
      </c>
      <c r="H16" s="25" t="n">
        <v>3500000</v>
      </c>
      <c r="I16" s="24" t="n">
        <f aca="false">H16/F16</f>
        <v>0.241379310344828</v>
      </c>
      <c r="J16" s="25" t="n">
        <v>-3000000</v>
      </c>
      <c r="K16" s="24" t="n">
        <f aca="false">J16/G16</f>
        <v>-0.2</v>
      </c>
      <c r="L16" s="26" t="s">
        <v>27</v>
      </c>
      <c r="M16" s="20" t="s">
        <v>44</v>
      </c>
    </row>
    <row r="17" customFormat="false" ht="18" hidden="false" customHeight="true" outlineLevel="0" collapsed="false">
      <c r="A17" s="31" t="s">
        <v>45</v>
      </c>
      <c r="B17" s="31" t="s">
        <v>46</v>
      </c>
      <c r="C17" s="32" t="s">
        <v>43</v>
      </c>
      <c r="D17" s="32" t="s">
        <v>19</v>
      </c>
      <c r="E17" s="33" t="n">
        <v>7000000</v>
      </c>
      <c r="F17" s="33" t="n">
        <v>6800000</v>
      </c>
      <c r="G17" s="33" t="n">
        <v>7000000</v>
      </c>
      <c r="H17" s="33" t="n">
        <v>200000</v>
      </c>
      <c r="I17" s="34" t="n">
        <f aca="false">H17/F17</f>
        <v>0.0294117647058824</v>
      </c>
      <c r="J17" s="33" t="n">
        <v>0</v>
      </c>
      <c r="K17" s="34" t="n">
        <f aca="false">J17/G17</f>
        <v>0</v>
      </c>
      <c r="L17" s="32"/>
      <c r="M17" s="31" t="s">
        <v>20</v>
      </c>
    </row>
    <row r="18" customFormat="false" ht="72" hidden="false" customHeight="true" outlineLevel="0" collapsed="false">
      <c r="A18" s="20" t="s">
        <v>47</v>
      </c>
      <c r="B18" s="21" t="s">
        <v>48</v>
      </c>
      <c r="C18" s="22" t="s">
        <v>43</v>
      </c>
      <c r="D18" s="22" t="s">
        <v>19</v>
      </c>
      <c r="E18" s="23" t="n">
        <v>3500000</v>
      </c>
      <c r="F18" s="23" t="n">
        <v>3200000</v>
      </c>
      <c r="G18" s="23" t="n">
        <v>3400000</v>
      </c>
      <c r="H18" s="25" t="n">
        <v>300000</v>
      </c>
      <c r="I18" s="24" t="n">
        <f aca="false">H18/F18</f>
        <v>0.09375</v>
      </c>
      <c r="J18" s="25" t="n">
        <v>-100000</v>
      </c>
      <c r="K18" s="24" t="n">
        <f aca="false">J18/G18</f>
        <v>-0.0294117647058824</v>
      </c>
      <c r="L18" s="19" t="s">
        <v>25</v>
      </c>
      <c r="M18" s="20" t="s">
        <v>49</v>
      </c>
    </row>
    <row r="19" customFormat="false" ht="18" hidden="false" customHeight="true" outlineLevel="0" collapsed="false">
      <c r="A19" s="35" t="s">
        <v>50</v>
      </c>
      <c r="B19" s="35" t="s">
        <v>51</v>
      </c>
      <c r="C19" s="36" t="s">
        <v>43</v>
      </c>
      <c r="D19" s="36" t="s">
        <v>19</v>
      </c>
      <c r="E19" s="37" t="n">
        <v>14000000</v>
      </c>
      <c r="F19" s="37" t="n">
        <v>14100000</v>
      </c>
      <c r="G19" s="37" t="n">
        <v>14500000</v>
      </c>
      <c r="H19" s="37" t="n">
        <v>-100000</v>
      </c>
      <c r="I19" s="38" t="n">
        <f aca="false">H19/F19</f>
        <v>-0.00709219858156028</v>
      </c>
      <c r="J19" s="37" t="n">
        <v>500000</v>
      </c>
      <c r="K19" s="38" t="n">
        <f aca="false">J19/G19</f>
        <v>0.0344827586206897</v>
      </c>
      <c r="L19" s="36"/>
      <c r="M19" s="35" t="s">
        <v>20</v>
      </c>
    </row>
    <row r="20" customFormat="false" ht="18" hidden="false" customHeight="true" outlineLevel="0" collapsed="false">
      <c r="A20" s="31" t="s">
        <v>52</v>
      </c>
      <c r="B20" s="31" t="s">
        <v>53</v>
      </c>
      <c r="C20" s="32" t="s">
        <v>43</v>
      </c>
      <c r="D20" s="32" t="s">
        <v>19</v>
      </c>
      <c r="E20" s="33" t="n">
        <v>7500000</v>
      </c>
      <c r="F20" s="33" t="n">
        <v>7400000</v>
      </c>
      <c r="G20" s="33" t="n">
        <v>7500000</v>
      </c>
      <c r="H20" s="33" t="n">
        <v>100000</v>
      </c>
      <c r="I20" s="34" t="n">
        <f aca="false">H20/F20</f>
        <v>0.0135135135135135</v>
      </c>
      <c r="J20" s="33" t="n">
        <v>0</v>
      </c>
      <c r="K20" s="34" t="n">
        <f aca="false">J20/G20</f>
        <v>0</v>
      </c>
      <c r="L20" s="32"/>
      <c r="M20" s="31" t="s">
        <v>20</v>
      </c>
    </row>
    <row r="21" customFormat="false" ht="18" hidden="false" customHeight="true" outlineLevel="0" collapsed="false">
      <c r="A21" s="31" t="s">
        <v>54</v>
      </c>
      <c r="B21" s="31" t="s">
        <v>55</v>
      </c>
      <c r="C21" s="32" t="s">
        <v>43</v>
      </c>
      <c r="D21" s="32" t="s">
        <v>19</v>
      </c>
      <c r="E21" s="33" t="n">
        <v>5000000</v>
      </c>
      <c r="F21" s="33" t="n">
        <v>4900000</v>
      </c>
      <c r="G21" s="33" t="n">
        <v>5000000</v>
      </c>
      <c r="H21" s="33" t="n">
        <v>100000</v>
      </c>
      <c r="I21" s="34" t="n">
        <f aca="false">H21/F21</f>
        <v>0.0204081632653061</v>
      </c>
      <c r="J21" s="33" t="n">
        <v>0</v>
      </c>
      <c r="K21" s="34" t="n">
        <f aca="false">J21/G21</f>
        <v>0</v>
      </c>
      <c r="L21" s="32"/>
      <c r="M21" s="31" t="s">
        <v>20</v>
      </c>
    </row>
    <row r="22" customFormat="false" ht="18" hidden="false" customHeight="true" outlineLevel="0" collapsed="false">
      <c r="A22" s="31" t="s">
        <v>56</v>
      </c>
      <c r="B22" s="31" t="s">
        <v>57</v>
      </c>
      <c r="C22" s="32" t="s">
        <v>43</v>
      </c>
      <c r="D22" s="32" t="s">
        <v>19</v>
      </c>
      <c r="E22" s="33" t="n">
        <v>1200000</v>
      </c>
      <c r="F22" s="33" t="n">
        <v>1100000</v>
      </c>
      <c r="G22" s="33" t="n">
        <v>1000000</v>
      </c>
      <c r="H22" s="33" t="n">
        <v>100000</v>
      </c>
      <c r="I22" s="34" t="n">
        <f aca="false">H22/F22</f>
        <v>0.0909090909090909</v>
      </c>
      <c r="J22" s="33" t="n">
        <v>-200000</v>
      </c>
      <c r="K22" s="34" t="n">
        <f aca="false">J22/G22</f>
        <v>-0.2</v>
      </c>
      <c r="L22" s="32"/>
      <c r="M22" s="31" t="s">
        <v>20</v>
      </c>
    </row>
    <row r="23" customFormat="false" ht="18" hidden="false" customHeight="true" outlineLevel="0" collapsed="false">
      <c r="A23" s="35" t="s">
        <v>58</v>
      </c>
      <c r="B23" s="35" t="s">
        <v>59</v>
      </c>
      <c r="C23" s="36" t="s">
        <v>43</v>
      </c>
      <c r="D23" s="36" t="s">
        <v>19</v>
      </c>
      <c r="E23" s="37" t="n">
        <v>800000</v>
      </c>
      <c r="F23" s="37" t="n">
        <v>750000</v>
      </c>
      <c r="G23" s="37" t="n">
        <v>900000</v>
      </c>
      <c r="H23" s="33" t="n">
        <v>50000</v>
      </c>
      <c r="I23" s="38" t="n">
        <f aca="false">H23/F23</f>
        <v>0.0666666666666667</v>
      </c>
      <c r="J23" s="37" t="n">
        <v>100000</v>
      </c>
      <c r="K23" s="38" t="n">
        <f aca="false">J23/G23</f>
        <v>0.111111111111111</v>
      </c>
      <c r="L23" s="36"/>
      <c r="M23" s="35" t="s">
        <v>20</v>
      </c>
    </row>
    <row r="24" customFormat="false" ht="18" hidden="false" customHeight="true" outlineLevel="0" collapsed="false">
      <c r="A24" s="31" t="s">
        <v>60</v>
      </c>
      <c r="B24" s="31" t="s">
        <v>61</v>
      </c>
      <c r="C24" s="32" t="s">
        <v>43</v>
      </c>
      <c r="D24" s="32" t="s">
        <v>19</v>
      </c>
      <c r="E24" s="33" t="n">
        <v>1500000</v>
      </c>
      <c r="F24" s="33" t="n">
        <v>1500000</v>
      </c>
      <c r="G24" s="33" t="n">
        <v>1500000</v>
      </c>
      <c r="H24" s="33" t="n">
        <v>0</v>
      </c>
      <c r="I24" s="34" t="n">
        <f aca="false">H24/F24</f>
        <v>0</v>
      </c>
      <c r="J24" s="33" t="n">
        <v>0</v>
      </c>
      <c r="K24" s="34" t="n">
        <f aca="false">J24/G24</f>
        <v>0</v>
      </c>
      <c r="L24" s="32"/>
      <c r="M24" s="31" t="s">
        <v>20</v>
      </c>
    </row>
    <row r="25" customFormat="false" ht="18" hidden="false" customHeight="true" outlineLevel="0" collapsed="false">
      <c r="A25" s="31" t="s">
        <v>62</v>
      </c>
      <c r="B25" s="31" t="s">
        <v>63</v>
      </c>
      <c r="C25" s="32" t="s">
        <v>43</v>
      </c>
      <c r="D25" s="32" t="s">
        <v>19</v>
      </c>
      <c r="E25" s="33" t="n">
        <v>1500000</v>
      </c>
      <c r="F25" s="33" t="n">
        <v>1450000</v>
      </c>
      <c r="G25" s="33" t="n">
        <v>1500000</v>
      </c>
      <c r="H25" s="33" t="n">
        <v>50000</v>
      </c>
      <c r="I25" s="34" t="n">
        <f aca="false">H25/F25</f>
        <v>0.0344827586206897</v>
      </c>
      <c r="J25" s="33" t="n">
        <v>0</v>
      </c>
      <c r="K25" s="34" t="n">
        <f aca="false">J25/G25</f>
        <v>0</v>
      </c>
      <c r="L25" s="32"/>
      <c r="M25" s="31" t="s">
        <v>20</v>
      </c>
    </row>
    <row r="26" customFormat="false" ht="18" hidden="false" customHeight="true" outlineLevel="0" collapsed="false">
      <c r="A26" s="39" t="s">
        <v>64</v>
      </c>
      <c r="B26" s="39" t="s">
        <v>65</v>
      </c>
      <c r="C26" s="40" t="s">
        <v>66</v>
      </c>
      <c r="D26" s="40" t="s">
        <v>19</v>
      </c>
      <c r="E26" s="41" t="n">
        <v>-800000</v>
      </c>
      <c r="F26" s="41" t="n">
        <v>-750000</v>
      </c>
      <c r="G26" s="41" t="n">
        <v>-750000</v>
      </c>
      <c r="H26" s="41" t="n">
        <v>-50000</v>
      </c>
      <c r="I26" s="42" t="n">
        <f aca="false">H26/F26</f>
        <v>0.0666666666666667</v>
      </c>
      <c r="J26" s="41" t="n">
        <v>-50000</v>
      </c>
      <c r="K26" s="42" t="n">
        <f aca="false">J26/G26</f>
        <v>0.0666666666666667</v>
      </c>
      <c r="L26" s="40"/>
      <c r="M26" s="39" t="s">
        <v>20</v>
      </c>
    </row>
    <row r="27" customFormat="false" ht="18" hidden="false" customHeight="true" outlineLevel="0" collapsed="false">
      <c r="A27" s="39" t="s">
        <v>67</v>
      </c>
      <c r="B27" s="39" t="s">
        <v>68</v>
      </c>
      <c r="C27" s="40" t="s">
        <v>66</v>
      </c>
      <c r="D27" s="40" t="s">
        <v>19</v>
      </c>
      <c r="E27" s="41" t="n">
        <v>3200000</v>
      </c>
      <c r="F27" s="41" t="n">
        <v>3200000</v>
      </c>
      <c r="G27" s="41" t="n">
        <v>3200000</v>
      </c>
      <c r="H27" s="41" t="n">
        <v>0</v>
      </c>
      <c r="I27" s="42" t="n">
        <f aca="false">H27/F27</f>
        <v>0</v>
      </c>
      <c r="J27" s="41" t="n">
        <v>0</v>
      </c>
      <c r="K27" s="42" t="n">
        <f aca="false">J27/G27</f>
        <v>0</v>
      </c>
      <c r="L27" s="40"/>
      <c r="M27" s="39" t="s">
        <v>20</v>
      </c>
    </row>
    <row r="28" customFormat="false" ht="72" hidden="false" customHeight="true" outlineLevel="0" collapsed="false">
      <c r="A28" s="20" t="s">
        <v>69</v>
      </c>
      <c r="B28" s="21" t="s">
        <v>70</v>
      </c>
      <c r="C28" s="22" t="s">
        <v>66</v>
      </c>
      <c r="D28" s="22" t="s">
        <v>19</v>
      </c>
      <c r="E28" s="23" t="n">
        <v>450000</v>
      </c>
      <c r="F28" s="23" t="n">
        <v>-200000</v>
      </c>
      <c r="G28" s="23" t="n">
        <v>0</v>
      </c>
      <c r="H28" s="25" t="n">
        <v>650000</v>
      </c>
      <c r="I28" s="24" t="n">
        <f aca="false">H28/F28</f>
        <v>-3.25</v>
      </c>
      <c r="J28" s="25" t="n">
        <v>-450000</v>
      </c>
      <c r="K28" s="24" t="s">
        <v>71</v>
      </c>
      <c r="L28" s="19" t="s">
        <v>25</v>
      </c>
      <c r="M28" s="20" t="s">
        <v>72</v>
      </c>
    </row>
    <row r="29" customFormat="false" ht="18" hidden="false" customHeight="true" outlineLevel="0" collapsed="false">
      <c r="A29" s="43" t="s">
        <v>73</v>
      </c>
      <c r="B29" s="43" t="s">
        <v>74</v>
      </c>
      <c r="C29" s="44" t="s">
        <v>75</v>
      </c>
      <c r="D29" s="44" t="s">
        <v>19</v>
      </c>
      <c r="E29" s="45" t="n">
        <v>6800000</v>
      </c>
      <c r="F29" s="45" t="n">
        <v>6500000</v>
      </c>
      <c r="G29" s="45" t="n">
        <v>7000000</v>
      </c>
      <c r="H29" s="46" t="n">
        <v>300000</v>
      </c>
      <c r="I29" s="47" t="n">
        <f aca="false">H29/F29</f>
        <v>0.0461538461538462</v>
      </c>
      <c r="J29" s="45" t="n">
        <v>200000</v>
      </c>
      <c r="K29" s="47" t="n">
        <f aca="false">J29/G29</f>
        <v>0.0285714285714286</v>
      </c>
      <c r="L29" s="44"/>
      <c r="M29" s="43" t="s">
        <v>20</v>
      </c>
    </row>
    <row r="31" customFormat="false" ht="15" hidden="false" customHeight="false" outlineLevel="0" collapsed="false">
      <c r="A31" s="48" t="s">
        <v>76</v>
      </c>
      <c r="B31" s="48"/>
      <c r="C31" s="49" t="s">
        <v>77</v>
      </c>
      <c r="D31" s="50" t="s">
        <v>78</v>
      </c>
      <c r="E31" s="51" t="s">
        <v>79</v>
      </c>
    </row>
  </sheetData>
  <mergeCells count="4">
    <mergeCell ref="A1:L1"/>
    <mergeCell ref="A2:L2"/>
    <mergeCell ref="A3:L3"/>
    <mergeCell ref="A31:B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8"/>
    <col collapsed="false" customWidth="true" hidden="false" outlineLevel="0" max="4" min="4" style="0" width="90"/>
    <col collapsed="false" customWidth="true" hidden="false" outlineLevel="0" max="5" min="5" style="0" width="40"/>
  </cols>
  <sheetData>
    <row r="1" customFormat="false" ht="24" hidden="false" customHeight="true" outlineLevel="0" collapsed="false">
      <c r="A1" s="52" t="s">
        <v>80</v>
      </c>
      <c r="B1" s="52"/>
      <c r="C1" s="52"/>
      <c r="D1" s="52"/>
      <c r="E1" s="52"/>
    </row>
    <row r="2" customFormat="false" ht="30" hidden="false" customHeight="true" outlineLevel="0" collapsed="false">
      <c r="A2" s="4" t="s">
        <v>81</v>
      </c>
      <c r="B2" s="4" t="s">
        <v>82</v>
      </c>
      <c r="C2" s="4" t="s">
        <v>4</v>
      </c>
      <c r="D2" s="4" t="s">
        <v>83</v>
      </c>
      <c r="E2" s="4" t="s">
        <v>84</v>
      </c>
    </row>
    <row r="3" customFormat="false" ht="90" hidden="false" customHeight="true" outlineLevel="0" collapsed="false">
      <c r="A3" s="53" t="s">
        <v>85</v>
      </c>
      <c r="B3" s="54" t="s">
        <v>86</v>
      </c>
      <c r="C3" s="55" t="s">
        <v>87</v>
      </c>
      <c r="D3" s="55" t="s">
        <v>88</v>
      </c>
      <c r="E3" s="55" t="s">
        <v>89</v>
      </c>
    </row>
    <row r="4" customFormat="false" ht="90" hidden="false" customHeight="true" outlineLevel="0" collapsed="false">
      <c r="A4" s="56" t="s">
        <v>90</v>
      </c>
      <c r="B4" s="57" t="s">
        <v>23</v>
      </c>
      <c r="C4" s="58" t="s">
        <v>91</v>
      </c>
      <c r="D4" s="58" t="s">
        <v>92</v>
      </c>
      <c r="E4" s="58" t="s">
        <v>93</v>
      </c>
    </row>
    <row r="5" customFormat="false" ht="90" hidden="false" customHeight="true" outlineLevel="0" collapsed="false">
      <c r="A5" s="56" t="s">
        <v>90</v>
      </c>
      <c r="B5" s="57" t="s">
        <v>41</v>
      </c>
      <c r="C5" s="58" t="s">
        <v>42</v>
      </c>
      <c r="D5" s="58" t="s">
        <v>94</v>
      </c>
      <c r="E5" s="58" t="s">
        <v>95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7" min="3" style="0" width="12"/>
    <col collapsed="false" customWidth="true" hidden="false" outlineLevel="0" max="9" min="8" style="0" width="10"/>
  </cols>
  <sheetData>
    <row r="1" customFormat="false" ht="24" hidden="false" customHeight="true" outlineLevel="0" collapsed="false">
      <c r="A1" s="59" t="s">
        <v>96</v>
      </c>
      <c r="B1" s="59"/>
      <c r="C1" s="59"/>
      <c r="D1" s="59"/>
      <c r="E1" s="59"/>
      <c r="F1" s="59"/>
    </row>
    <row r="2" customFormat="false" ht="15.75" hidden="false" customHeight="true" outlineLevel="0" collapsed="false">
      <c r="A2" s="60" t="s">
        <v>97</v>
      </c>
      <c r="B2" s="60"/>
      <c r="C2" s="60"/>
      <c r="D2" s="60"/>
      <c r="E2" s="60"/>
      <c r="F2" s="60"/>
    </row>
    <row r="3" customFormat="false" ht="15" hidden="false" customHeight="false" outlineLevel="0" collapsed="false">
      <c r="A3" s="4" t="s">
        <v>82</v>
      </c>
      <c r="B3" s="4" t="s">
        <v>98</v>
      </c>
      <c r="C3" s="4" t="s">
        <v>6</v>
      </c>
      <c r="D3" s="4" t="s">
        <v>99</v>
      </c>
      <c r="E3" s="4" t="s">
        <v>100</v>
      </c>
      <c r="F3" s="4" t="s">
        <v>101</v>
      </c>
      <c r="G3" s="4" t="s">
        <v>102</v>
      </c>
      <c r="H3" s="4" t="s">
        <v>103</v>
      </c>
      <c r="I3" s="4" t="s">
        <v>104</v>
      </c>
    </row>
    <row r="4" customFormat="false" ht="15.75" hidden="false" customHeight="true" outlineLevel="0" collapsed="false">
      <c r="A4" s="61" t="s">
        <v>16</v>
      </c>
      <c r="B4" s="61" t="s">
        <v>17</v>
      </c>
      <c r="C4" s="61" t="s">
        <v>19</v>
      </c>
      <c r="D4" s="62" t="s">
        <v>105</v>
      </c>
      <c r="E4" s="63" t="s">
        <v>106</v>
      </c>
      <c r="F4" s="62" t="s">
        <v>107</v>
      </c>
      <c r="G4" s="63" t="s">
        <v>108</v>
      </c>
      <c r="H4" s="63" t="s">
        <v>109</v>
      </c>
      <c r="I4" s="63" t="s">
        <v>109</v>
      </c>
    </row>
    <row r="5" customFormat="false" ht="15.75" hidden="false" customHeight="true" outlineLevel="0" collapsed="false">
      <c r="A5" s="61" t="s">
        <v>16</v>
      </c>
      <c r="B5" s="61" t="s">
        <v>17</v>
      </c>
      <c r="C5" s="61" t="s">
        <v>21</v>
      </c>
      <c r="D5" s="62" t="s">
        <v>105</v>
      </c>
      <c r="E5" s="63" t="s">
        <v>110</v>
      </c>
      <c r="F5" s="62" t="s">
        <v>111</v>
      </c>
      <c r="G5" s="63" t="s">
        <v>112</v>
      </c>
      <c r="H5" s="63" t="s">
        <v>109</v>
      </c>
      <c r="I5" s="63" t="s">
        <v>109</v>
      </c>
    </row>
    <row r="6" customFormat="false" ht="15.75" hidden="false" customHeight="true" outlineLevel="0" collapsed="false">
      <c r="A6" s="61" t="s">
        <v>16</v>
      </c>
      <c r="B6" s="61" t="s">
        <v>17</v>
      </c>
      <c r="C6" s="61" t="s">
        <v>22</v>
      </c>
      <c r="D6" s="63" t="s">
        <v>113</v>
      </c>
      <c r="E6" s="63" t="s">
        <v>108</v>
      </c>
      <c r="F6" s="63" t="s">
        <v>114</v>
      </c>
      <c r="G6" s="62" t="s">
        <v>115</v>
      </c>
      <c r="H6" s="63" t="s">
        <v>109</v>
      </c>
      <c r="I6" s="63" t="s">
        <v>109</v>
      </c>
    </row>
    <row r="7" customFormat="false" ht="15.75" hidden="false" customHeight="true" outlineLevel="0" collapsed="false">
      <c r="A7" s="61" t="s">
        <v>23</v>
      </c>
      <c r="B7" s="61" t="s">
        <v>24</v>
      </c>
      <c r="C7" s="61" t="s">
        <v>19</v>
      </c>
      <c r="D7" s="62" t="s">
        <v>116</v>
      </c>
      <c r="E7" s="62" t="s">
        <v>117</v>
      </c>
      <c r="F7" s="62" t="s">
        <v>118</v>
      </c>
      <c r="G7" s="63" t="s">
        <v>119</v>
      </c>
      <c r="H7" s="64" t="s">
        <v>120</v>
      </c>
      <c r="I7" s="63" t="s">
        <v>109</v>
      </c>
    </row>
    <row r="8" customFormat="false" ht="15.75" hidden="false" customHeight="true" outlineLevel="0" collapsed="false">
      <c r="A8" s="61" t="s">
        <v>23</v>
      </c>
      <c r="B8" s="61" t="s">
        <v>24</v>
      </c>
      <c r="C8" s="61" t="s">
        <v>21</v>
      </c>
      <c r="D8" s="62" t="s">
        <v>111</v>
      </c>
      <c r="E8" s="62" t="s">
        <v>121</v>
      </c>
      <c r="F8" s="63" t="s">
        <v>113</v>
      </c>
      <c r="G8" s="63" t="s">
        <v>122</v>
      </c>
      <c r="H8" s="64" t="s">
        <v>120</v>
      </c>
      <c r="I8" s="63" t="s">
        <v>109</v>
      </c>
    </row>
    <row r="9" customFormat="false" ht="15.75" hidden="false" customHeight="true" outlineLevel="0" collapsed="false">
      <c r="A9" s="61" t="s">
        <v>23</v>
      </c>
      <c r="B9" s="61" t="s">
        <v>24</v>
      </c>
      <c r="C9" s="61" t="s">
        <v>22</v>
      </c>
      <c r="D9" s="62" t="s">
        <v>123</v>
      </c>
      <c r="E9" s="62" t="s">
        <v>124</v>
      </c>
      <c r="F9" s="62" t="s">
        <v>105</v>
      </c>
      <c r="G9" s="62" t="s">
        <v>125</v>
      </c>
      <c r="H9" s="64" t="s">
        <v>120</v>
      </c>
      <c r="I9" s="64" t="s">
        <v>126</v>
      </c>
    </row>
    <row r="10" customFormat="false" ht="15.75" hidden="false" customHeight="true" outlineLevel="0" collapsed="false">
      <c r="A10" s="61" t="s">
        <v>29</v>
      </c>
      <c r="B10" s="61" t="s">
        <v>30</v>
      </c>
      <c r="C10" s="61" t="s">
        <v>19</v>
      </c>
      <c r="D10" s="63" t="s">
        <v>127</v>
      </c>
      <c r="E10" s="62" t="s">
        <v>115</v>
      </c>
      <c r="F10" s="63" t="s">
        <v>128</v>
      </c>
      <c r="G10" s="63" t="s">
        <v>71</v>
      </c>
      <c r="H10" s="63" t="s">
        <v>109</v>
      </c>
      <c r="I10" s="63" t="s">
        <v>109</v>
      </c>
    </row>
    <row r="11" customFormat="false" ht="15.75" hidden="false" customHeight="true" outlineLevel="0" collapsed="false">
      <c r="A11" s="61" t="s">
        <v>31</v>
      </c>
      <c r="B11" s="61" t="s">
        <v>32</v>
      </c>
      <c r="C11" s="61" t="s">
        <v>19</v>
      </c>
      <c r="D11" s="62" t="s">
        <v>105</v>
      </c>
      <c r="E11" s="63" t="s">
        <v>129</v>
      </c>
      <c r="F11" s="63" t="s">
        <v>114</v>
      </c>
      <c r="G11" s="63" t="s">
        <v>130</v>
      </c>
      <c r="H11" s="63" t="s">
        <v>109</v>
      </c>
      <c r="I11" s="63" t="s">
        <v>109</v>
      </c>
    </row>
    <row r="12" customFormat="false" ht="15.75" hidden="false" customHeight="true" outlineLevel="0" collapsed="false">
      <c r="A12" s="61" t="s">
        <v>34</v>
      </c>
      <c r="B12" s="61" t="s">
        <v>35</v>
      </c>
      <c r="C12" s="61" t="s">
        <v>19</v>
      </c>
      <c r="D12" s="62" t="s">
        <v>131</v>
      </c>
      <c r="E12" s="62" t="s">
        <v>132</v>
      </c>
      <c r="F12" s="62" t="s">
        <v>111</v>
      </c>
      <c r="G12" s="62" t="s">
        <v>133</v>
      </c>
      <c r="H12" s="64" t="s">
        <v>120</v>
      </c>
      <c r="I12" s="64" t="s">
        <v>126</v>
      </c>
    </row>
    <row r="13" customFormat="false" ht="15.75" hidden="false" customHeight="true" outlineLevel="0" collapsed="false">
      <c r="A13" s="61" t="s">
        <v>37</v>
      </c>
      <c r="B13" s="61" t="s">
        <v>38</v>
      </c>
      <c r="C13" s="61" t="s">
        <v>19</v>
      </c>
      <c r="D13" s="63" t="s">
        <v>127</v>
      </c>
      <c r="E13" s="63" t="s">
        <v>134</v>
      </c>
      <c r="F13" s="63" t="s">
        <v>128</v>
      </c>
      <c r="G13" s="63" t="s">
        <v>71</v>
      </c>
      <c r="H13" s="63" t="s">
        <v>109</v>
      </c>
      <c r="I13" s="63" t="s">
        <v>109</v>
      </c>
    </row>
    <row r="14" customFormat="false" ht="15.75" hidden="false" customHeight="true" outlineLevel="0" collapsed="false">
      <c r="A14" s="61" t="s">
        <v>39</v>
      </c>
      <c r="B14" s="61" t="s">
        <v>40</v>
      </c>
      <c r="C14" s="61" t="s">
        <v>19</v>
      </c>
      <c r="D14" s="63" t="s">
        <v>135</v>
      </c>
      <c r="E14" s="63" t="s">
        <v>119</v>
      </c>
      <c r="F14" s="63" t="s">
        <v>128</v>
      </c>
      <c r="G14" s="63" t="s">
        <v>71</v>
      </c>
      <c r="H14" s="63" t="s">
        <v>109</v>
      </c>
      <c r="I14" s="63" t="s">
        <v>109</v>
      </c>
    </row>
    <row r="15" customFormat="false" ht="15.75" hidden="false" customHeight="true" outlineLevel="0" collapsed="false">
      <c r="A15" s="61" t="s">
        <v>41</v>
      </c>
      <c r="B15" s="61" t="s">
        <v>42</v>
      </c>
      <c r="C15" s="61" t="s">
        <v>19</v>
      </c>
      <c r="D15" s="62" t="s">
        <v>136</v>
      </c>
      <c r="E15" s="62" t="s">
        <v>137</v>
      </c>
      <c r="F15" s="62" t="s">
        <v>138</v>
      </c>
      <c r="G15" s="62" t="s">
        <v>139</v>
      </c>
      <c r="H15" s="64" t="s">
        <v>120</v>
      </c>
      <c r="I15" s="64" t="s">
        <v>126</v>
      </c>
    </row>
    <row r="16" customFormat="false" ht="15.75" hidden="false" customHeight="true" outlineLevel="0" collapsed="false">
      <c r="A16" s="61" t="s">
        <v>45</v>
      </c>
      <c r="B16" s="61" t="s">
        <v>46</v>
      </c>
      <c r="C16" s="61" t="s">
        <v>19</v>
      </c>
      <c r="D16" s="63" t="s">
        <v>113</v>
      </c>
      <c r="E16" s="63" t="s">
        <v>134</v>
      </c>
      <c r="F16" s="63" t="s">
        <v>128</v>
      </c>
      <c r="G16" s="63" t="s">
        <v>71</v>
      </c>
      <c r="H16" s="63" t="s">
        <v>109</v>
      </c>
      <c r="I16" s="63" t="s">
        <v>109</v>
      </c>
    </row>
    <row r="17" customFormat="false" ht="15.75" hidden="false" customHeight="true" outlineLevel="0" collapsed="false">
      <c r="A17" s="61" t="s">
        <v>47</v>
      </c>
      <c r="B17" s="61" t="s">
        <v>48</v>
      </c>
      <c r="C17" s="61" t="s">
        <v>19</v>
      </c>
      <c r="D17" s="62" t="s">
        <v>123</v>
      </c>
      <c r="E17" s="62" t="s">
        <v>140</v>
      </c>
      <c r="F17" s="63" t="s">
        <v>127</v>
      </c>
      <c r="G17" s="63" t="s">
        <v>134</v>
      </c>
      <c r="H17" s="64" t="s">
        <v>120</v>
      </c>
      <c r="I17" s="63" t="s">
        <v>109</v>
      </c>
    </row>
    <row r="18" customFormat="false" ht="15.75" hidden="false" customHeight="true" outlineLevel="0" collapsed="false">
      <c r="A18" s="61" t="s">
        <v>50</v>
      </c>
      <c r="B18" s="61" t="s">
        <v>51</v>
      </c>
      <c r="C18" s="61" t="s">
        <v>19</v>
      </c>
      <c r="D18" s="63" t="s">
        <v>127</v>
      </c>
      <c r="E18" s="63" t="s">
        <v>141</v>
      </c>
      <c r="F18" s="63" t="s">
        <v>114</v>
      </c>
      <c r="G18" s="63" t="s">
        <v>142</v>
      </c>
      <c r="H18" s="63" t="s">
        <v>109</v>
      </c>
      <c r="I18" s="63" t="s">
        <v>109</v>
      </c>
    </row>
    <row r="19" customFormat="false" ht="15.75" hidden="false" customHeight="true" outlineLevel="0" collapsed="false">
      <c r="A19" s="61" t="s">
        <v>52</v>
      </c>
      <c r="B19" s="61" t="s">
        <v>53</v>
      </c>
      <c r="C19" s="61" t="s">
        <v>19</v>
      </c>
      <c r="D19" s="63" t="s">
        <v>127</v>
      </c>
      <c r="E19" s="63" t="s">
        <v>143</v>
      </c>
      <c r="F19" s="63" t="s">
        <v>128</v>
      </c>
      <c r="G19" s="63" t="s">
        <v>71</v>
      </c>
      <c r="H19" s="63" t="s">
        <v>109</v>
      </c>
      <c r="I19" s="63" t="s">
        <v>109</v>
      </c>
    </row>
    <row r="20" customFormat="false" ht="15.75" hidden="false" customHeight="true" outlineLevel="0" collapsed="false">
      <c r="A20" s="61" t="s">
        <v>54</v>
      </c>
      <c r="B20" s="61" t="s">
        <v>55</v>
      </c>
      <c r="C20" s="61" t="s">
        <v>19</v>
      </c>
      <c r="D20" s="63" t="s">
        <v>127</v>
      </c>
      <c r="E20" s="63" t="s">
        <v>144</v>
      </c>
      <c r="F20" s="63" t="s">
        <v>128</v>
      </c>
      <c r="G20" s="63" t="s">
        <v>71</v>
      </c>
      <c r="H20" s="63" t="s">
        <v>109</v>
      </c>
      <c r="I20" s="63" t="s">
        <v>109</v>
      </c>
    </row>
    <row r="21" customFormat="false" ht="15.75" hidden="false" customHeight="true" outlineLevel="0" collapsed="false">
      <c r="A21" s="61" t="s">
        <v>56</v>
      </c>
      <c r="B21" s="61" t="s">
        <v>57</v>
      </c>
      <c r="C21" s="61" t="s">
        <v>19</v>
      </c>
      <c r="D21" s="63" t="s">
        <v>127</v>
      </c>
      <c r="E21" s="62" t="s">
        <v>145</v>
      </c>
      <c r="F21" s="63" t="s">
        <v>113</v>
      </c>
      <c r="G21" s="62" t="s">
        <v>139</v>
      </c>
      <c r="H21" s="63" t="s">
        <v>109</v>
      </c>
      <c r="I21" s="63" t="s">
        <v>109</v>
      </c>
    </row>
    <row r="22" customFormat="false" ht="15.75" hidden="false" customHeight="true" outlineLevel="0" collapsed="false">
      <c r="A22" s="61" t="s">
        <v>58</v>
      </c>
      <c r="B22" s="61" t="s">
        <v>59</v>
      </c>
      <c r="C22" s="61" t="s">
        <v>19</v>
      </c>
      <c r="D22" s="63" t="s">
        <v>135</v>
      </c>
      <c r="E22" s="62" t="s">
        <v>146</v>
      </c>
      <c r="F22" s="63" t="s">
        <v>127</v>
      </c>
      <c r="G22" s="62" t="s">
        <v>147</v>
      </c>
      <c r="H22" s="63" t="s">
        <v>109</v>
      </c>
      <c r="I22" s="63" t="s">
        <v>109</v>
      </c>
    </row>
    <row r="23" customFormat="false" ht="15.75" hidden="false" customHeight="true" outlineLevel="0" collapsed="false">
      <c r="A23" s="61" t="s">
        <v>60</v>
      </c>
      <c r="B23" s="61" t="s">
        <v>61</v>
      </c>
      <c r="C23" s="61" t="s">
        <v>19</v>
      </c>
      <c r="D23" s="63" t="s">
        <v>128</v>
      </c>
      <c r="E23" s="63" t="s">
        <v>71</v>
      </c>
      <c r="F23" s="63" t="s">
        <v>128</v>
      </c>
      <c r="G23" s="63" t="s">
        <v>71</v>
      </c>
      <c r="H23" s="63" t="s">
        <v>109</v>
      </c>
      <c r="I23" s="63" t="s">
        <v>109</v>
      </c>
    </row>
    <row r="24" customFormat="false" ht="15.75" hidden="false" customHeight="true" outlineLevel="0" collapsed="false">
      <c r="A24" s="61" t="s">
        <v>62</v>
      </c>
      <c r="B24" s="61" t="s">
        <v>63</v>
      </c>
      <c r="C24" s="61" t="s">
        <v>19</v>
      </c>
      <c r="D24" s="63" t="s">
        <v>135</v>
      </c>
      <c r="E24" s="63" t="s">
        <v>142</v>
      </c>
      <c r="F24" s="63" t="s">
        <v>128</v>
      </c>
      <c r="G24" s="63" t="s">
        <v>71</v>
      </c>
      <c r="H24" s="63" t="s">
        <v>109</v>
      </c>
      <c r="I24" s="63" t="s">
        <v>109</v>
      </c>
    </row>
    <row r="25" customFormat="false" ht="15.75" hidden="false" customHeight="true" outlineLevel="0" collapsed="false">
      <c r="A25" s="61" t="s">
        <v>64</v>
      </c>
      <c r="B25" s="61" t="s">
        <v>65</v>
      </c>
      <c r="C25" s="61" t="s">
        <v>19</v>
      </c>
      <c r="D25" s="63" t="s">
        <v>135</v>
      </c>
      <c r="E25" s="62" t="s">
        <v>146</v>
      </c>
      <c r="F25" s="63" t="s">
        <v>135</v>
      </c>
      <c r="G25" s="62" t="s">
        <v>146</v>
      </c>
      <c r="H25" s="63" t="s">
        <v>109</v>
      </c>
      <c r="I25" s="63" t="s">
        <v>109</v>
      </c>
    </row>
    <row r="26" customFormat="false" ht="15.75" hidden="false" customHeight="true" outlineLevel="0" collapsed="false">
      <c r="A26" s="61" t="s">
        <v>67</v>
      </c>
      <c r="B26" s="61" t="s">
        <v>68</v>
      </c>
      <c r="C26" s="61" t="s">
        <v>19</v>
      </c>
      <c r="D26" s="63" t="s">
        <v>128</v>
      </c>
      <c r="E26" s="63" t="s">
        <v>71</v>
      </c>
      <c r="F26" s="63" t="s">
        <v>128</v>
      </c>
      <c r="G26" s="63" t="s">
        <v>71</v>
      </c>
      <c r="H26" s="63" t="s">
        <v>109</v>
      </c>
      <c r="I26" s="63" t="s">
        <v>109</v>
      </c>
    </row>
    <row r="27" customFormat="false" ht="15.75" hidden="false" customHeight="true" outlineLevel="0" collapsed="false">
      <c r="A27" s="61" t="s">
        <v>69</v>
      </c>
      <c r="B27" s="61" t="s">
        <v>70</v>
      </c>
      <c r="C27" s="61" t="s">
        <v>19</v>
      </c>
      <c r="D27" s="62" t="s">
        <v>148</v>
      </c>
      <c r="E27" s="62" t="s">
        <v>149</v>
      </c>
      <c r="F27" s="63" t="s">
        <v>150</v>
      </c>
      <c r="G27" s="62" t="s">
        <v>71</v>
      </c>
      <c r="H27" s="64" t="s">
        <v>120</v>
      </c>
      <c r="I27" s="63" t="s">
        <v>109</v>
      </c>
    </row>
    <row r="28" customFormat="false" ht="15.75" hidden="false" customHeight="true" outlineLevel="0" collapsed="false">
      <c r="A28" s="61" t="s">
        <v>73</v>
      </c>
      <c r="B28" s="61" t="s">
        <v>74</v>
      </c>
      <c r="C28" s="61" t="s">
        <v>19</v>
      </c>
      <c r="D28" s="62" t="s">
        <v>123</v>
      </c>
      <c r="E28" s="63" t="s">
        <v>151</v>
      </c>
      <c r="F28" s="63" t="s">
        <v>113</v>
      </c>
      <c r="G28" s="63" t="s">
        <v>134</v>
      </c>
      <c r="H28" s="63" t="s">
        <v>109</v>
      </c>
      <c r="I28" s="63" t="s">
        <v>109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2026-05-25T21:18:53Z</dcterms:created>
  <dc:creator>openpyxl</dc:creator>
  <dc:description/>
  <dc:language>en-US</dc:language>
  <cp:lastModifiedBy/>
  <dcterms:modified xsi:type="dcterms:W3CDTF">2026-05-25T21:18:53Z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