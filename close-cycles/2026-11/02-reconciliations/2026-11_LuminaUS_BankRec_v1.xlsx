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ankRec" sheetId="2" state="visible" r:id="rId4"/>
    <sheet name="Outstanding Items" sheetId="3" state="visible" r:id="rId5"/>
    <sheet name="Exceptions" sheetId="4" state="visible" r:id="rId6"/>
    <sheet name="Proposed JEs" sheetId="5" state="visible" r:id="rId7"/>
    <sheet name="Audit Trail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<sst xmlns="http://schemas.openxmlformats.org/spreadsheetml/2006/main" count="206" uniqueCount="157">
  <si>
    <t xml:space="preserve">Bank reconciliation — workpaper summary</t>
  </si>
  <si>
    <t xml:space="preserve">Account</t>
  </si>
  <si>
    <t xml:space="preserve">100100 Cash - Operating</t>
  </si>
  <si>
    <t xml:space="preserve">Entity</t>
  </si>
  <si>
    <t xml:space="preserve">LuminaUS</t>
  </si>
  <si>
    <t xml:space="preserve">Bank account number</t>
  </si>
  <si>
    <t xml:space="preserve">4471 (primary operating)</t>
  </si>
  <si>
    <t xml:space="preserve">Period</t>
  </si>
  <si>
    <t xml:space="preserve">November 30, 2026</t>
  </si>
  <si>
    <t xml:space="preserve">Prepared by</t>
  </si>
  <si>
    <t xml:space="preserve">Reconciliation Agent v0.1.0</t>
  </si>
  <si>
    <t xml:space="preserve">Prepared on</t>
  </si>
  <si>
    <t xml:space="preserve">2026-05-22T04:40:28Z</t>
  </si>
  <si>
    <t xml:space="preserve">Reviewer</t>
  </si>
  <si>
    <t xml:space="preserve">[pending human review]</t>
  </si>
  <si>
    <t xml:space="preserve">Reconciliation result</t>
  </si>
  <si>
    <t xml:space="preserve">GL balance per TB (pre-adjustment)</t>
  </si>
  <si>
    <t xml:space="preserve">Reconciled balance (per Detail tab)</t>
  </si>
  <si>
    <t xml:space="preserve">GL adjustment needed (via proposed JEs)</t>
  </si>
  <si>
    <t xml:space="preserve">Trivial threshold</t>
  </si>
  <si>
    <t xml:space="preserve">Status</t>
  </si>
  <si>
    <t xml:space="preserve">Exception summary</t>
  </si>
  <si>
    <t xml:space="preserve">Severity</t>
  </si>
  <si>
    <t xml:space="preserve">Count</t>
  </si>
  <si>
    <t xml:space="preserve">Total amount</t>
  </si>
  <si>
    <t xml:space="preserve">Disposition</t>
  </si>
  <si>
    <t xml:space="preserve">High</t>
  </si>
  <si>
    <t xml:space="preserve">Voided pending vendor confirmation</t>
  </si>
  <si>
    <t xml:space="preserve">Medium</t>
  </si>
  <si>
    <t xml:space="preserve">JE proposed to book book-side items</t>
  </si>
  <si>
    <t xml:space="preserve">Low</t>
  </si>
  <si>
    <t xml:space="preserve">Proposed JEs</t>
  </si>
  <si>
    <t xml:space="preserve">JE ref</t>
  </si>
  <si>
    <t xml:space="preserve">Description</t>
  </si>
  <si>
    <t xml:space="preserve">Amount</t>
  </si>
  <si>
    <t xml:space="preserve">Confidence</t>
  </si>
  <si>
    <t xml:space="preserve">JE-PROP-001</t>
  </si>
  <si>
    <t xml:space="preserve">Book interest credit not yet recorded</t>
  </si>
  <si>
    <t xml:space="preserve">JE-PROP-002</t>
  </si>
  <si>
    <t xml:space="preserve">Book wire fees not yet recorded</t>
  </si>
  <si>
    <t xml:space="preserve">JE-PROP-003</t>
  </si>
  <si>
    <t xml:space="preserve">Void outstanding check #4521 (Greenway)</t>
  </si>
  <si>
    <t xml:space="preserve">Sign-off</t>
  </si>
  <si>
    <t xml:space="preserve">Preparer</t>
  </si>
  <si>
    <t xml:space="preserve">Date</t>
  </si>
  <si>
    <t xml:space="preserve">[pending]</t>
  </si>
  <si>
    <t xml:space="preserve">Approver</t>
  </si>
  <si>
    <t xml:space="preserve">[pending Controller sign-off]</t>
  </si>
  <si>
    <t xml:space="preserve">Bank reconciliation — detail</t>
  </si>
  <si>
    <t xml:space="preserve">LuminaUS Operating Account #4471 — November 30, 2026</t>
  </si>
  <si>
    <t xml:space="preserve">Bank side</t>
  </si>
  <si>
    <t xml:space="preserve">Bank statement balance, November 30, 2026</t>
  </si>
  <si>
    <t xml:space="preserve">Per bank statement page 1</t>
  </si>
  <si>
    <t xml:space="preserve">Plus: deposits in transit</t>
  </si>
  <si>
    <t xml:space="preserve">Posted to GL Nov 30, not yet on bank statement</t>
  </si>
  <si>
    <t xml:space="preserve">Less: outstanding checks (see Outstanding Items tab)</t>
  </si>
  <si>
    <t xml:space="preserve">See detail tab</t>
  </si>
  <si>
    <t xml:space="preserve">Adjusted bank balance</t>
  </si>
  <si>
    <t xml:space="preserve">Book side</t>
  </si>
  <si>
    <t xml:space="preserve">Book balance per GL 100100 - Cash Operating (LuminaUS)</t>
  </si>
  <si>
    <t xml:space="preserve">Per TB Nov-26</t>
  </si>
  <si>
    <t xml:space="preserve">Less: wire fees not yet recorded in GL</t>
  </si>
  <si>
    <t xml:space="preserve">Bank service charge, Nov statement</t>
  </si>
  <si>
    <t xml:space="preserve">Plus: interest credit not yet recorded in GL</t>
  </si>
  <si>
    <t xml:space="preserve">Money market sweep, Nov statement</t>
  </si>
  <si>
    <t xml:space="preserve">Adjusted book balance</t>
  </si>
  <si>
    <t xml:space="preserve">Difference (should be zero)</t>
  </si>
  <si>
    <t xml:space="preserve">Notes</t>
  </si>
  <si>
    <t xml:space="preserve">Outstanding check #4521 ($45,000) has been outstanding 67 days. Per Lumina policy, checks &gt; 60 days outstanding are subject to investigation and potential voiding. See Exceptions tab and Proposed JE-PROP-003.</t>
  </si>
  <si>
    <t xml:space="preserve">Outstanding items detail</t>
  </si>
  <si>
    <t xml:space="preserve">Item ref</t>
  </si>
  <si>
    <t xml:space="preserve">Date issued</t>
  </si>
  <si>
    <t xml:space="preserve">Days outstanding</t>
  </si>
  <si>
    <t xml:space="preserve">Payee</t>
  </si>
  <si>
    <t xml:space="preserve">4518</t>
  </si>
  <si>
    <t xml:space="preserve">Pinnacle Studios — content fee</t>
  </si>
  <si>
    <t xml:space="preserve">OK</t>
  </si>
  <si>
    <t xml:space="preserve">4519</t>
  </si>
  <si>
    <t xml:space="preserve">AWS — Nov hosting</t>
  </si>
  <si>
    <t xml:space="preserve">4520</t>
  </si>
  <si>
    <t xml:space="preserve">Payroll — Nov supplemental</t>
  </si>
  <si>
    <t xml:space="preserve">4521</t>
  </si>
  <si>
    <t xml:space="preserve">Greenway Productions — content</t>
  </si>
  <si>
    <t xml:space="preserve">FLAG — 67 days outstanding</t>
  </si>
  <si>
    <t xml:space="preserve">TOTAL outstanding</t>
  </si>
  <si>
    <t xml:space="preserve">Aging analysis</t>
  </si>
  <si>
    <t xml:space="preserve">Aging bucket</t>
  </si>
  <si>
    <t xml:space="preserve">0–30 days</t>
  </si>
  <si>
    <t xml:space="preserve">31–60 days</t>
  </si>
  <si>
    <t xml:space="preserve">61–90 days</t>
  </si>
  <si>
    <t xml:space="preserve">90+ days</t>
  </si>
  <si>
    <t xml:space="preserve">Exceptions identified</t>
  </si>
  <si>
    <t xml:space="preserve">ID</t>
  </si>
  <si>
    <t xml:space="preserve">Category</t>
  </si>
  <si>
    <t xml:space="preserve">Proposed action</t>
  </si>
  <si>
    <t xml:space="preserve">EX-001</t>
  </si>
  <si>
    <t xml:space="preserve">Outstanding item aging</t>
  </si>
  <si>
    <t xml:space="preserve">Check #4521 to Greenway Productions outstanding 67 days at $45,000. Exceeds the 60-day investigation threshold per Lumina policy.</t>
  </si>
  <si>
    <t xml:space="preserve">Confirm with vendor whether check was received. If lost or stale, void via JE-PROP-003 and reissue if obligation remains valid.</t>
  </si>
  <si>
    <t xml:space="preserve">EX-002</t>
  </si>
  <si>
    <t xml:space="preserve">Unbooked bank-side item</t>
  </si>
  <si>
    <t xml:space="preserve">Wire transfer fees of $2,500 charged by bank in November but not yet recorded in GL.</t>
  </si>
  <si>
    <t xml:space="preserve">Book via JE-PROP-002. Recurring item; consider monthly accrual to avoid the timing difference.</t>
  </si>
  <si>
    <t xml:space="preserve">EX-003</t>
  </si>
  <si>
    <t xml:space="preserve">Interest credit of $8,200 from money market sweep posted to bank statement but not yet recorded in GL.</t>
  </si>
  <si>
    <t xml:space="preserve">Book via JE-PROP-001. Recurring item; consider monthly accrual to avoid the timing difference.</t>
  </si>
  <si>
    <t xml:space="preserve">Proposed adjusting journal entries</t>
  </si>
  <si>
    <t xml:space="preserve">These entries are PROPOSED and require human review and approval before posting.</t>
  </si>
  <si>
    <t xml:space="preserve">Account (DR)</t>
  </si>
  <si>
    <t xml:space="preserve">Account (CR)</t>
  </si>
  <si>
    <t xml:space="preserve">Source / reason</t>
  </si>
  <si>
    <t xml:space="preserve">Book interest credit not yet recorded in GL</t>
  </si>
  <si>
    <t xml:space="preserve">700100 Interest Income</t>
  </si>
  <si>
    <t xml:space="preserve">Bank statement Nov-26, money market interest line. Recurring monthly item. Confidence high — amount and account assignment are unambiguous.</t>
  </si>
  <si>
    <t xml:space="preserve">Book wire transfer fees charged in November</t>
  </si>
  <si>
    <t xml:space="preserve">600700 Professional Fees</t>
  </si>
  <si>
    <t xml:space="preserve">Bank statement Nov-26, service charges line. Confidence high — recurring monthly item, account assignment per chart of accounts conventions.</t>
  </si>
  <si>
    <t xml:space="preserve">Void outstanding check #4521 (Greenway Productions) — 67 days outstanding</t>
  </si>
  <si>
    <t xml:space="preserve">200100 AP - Trade</t>
  </si>
  <si>
    <t xml:space="preserve">Outstanding Items tab, row 4521. Confidence medium — requires vendor confirmation before posting. If vendor confirms check not received, post void and reissue payment if obligation remains.</t>
  </si>
  <si>
    <t xml:space="preserve">Audit trail</t>
  </si>
  <si>
    <t xml:space="preserve">Agent</t>
  </si>
  <si>
    <t xml:space="preserve">reconciliation</t>
  </si>
  <si>
    <t xml:space="preserve">Version</t>
  </si>
  <si>
    <t xml:space="preserve">0.1.0</t>
  </si>
  <si>
    <t xml:space="preserve">Run timestamp (UTC)</t>
  </si>
  <si>
    <t xml:space="preserve">2026-11</t>
  </si>
  <si>
    <t xml:space="preserve">Workpaper version</t>
  </si>
  <si>
    <t xml:space="preserve">v1</t>
  </si>
  <si>
    <t xml:space="preserve">Reviewer decision</t>
  </si>
  <si>
    <t xml:space="preserve">Reviewer date</t>
  </si>
  <si>
    <t xml:space="preserve">Sources</t>
  </si>
  <si>
    <t xml:space="preserve">  Trial balance</t>
  </si>
  <si>
    <t xml:space="preserve">/data/synthetic/lumina_close_dataset.xlsx :: TrialBalance (sha256 prefix 22e62aaeec4b7920)</t>
  </si>
  <si>
    <t xml:space="preserve">  Bank rec input</t>
  </si>
  <si>
    <t xml:space="preserve">/data/synthetic/lumina_close_dataset.xlsx :: BankRec (sha256 prefix 22e62aaeec4b7920)</t>
  </si>
  <si>
    <t xml:space="preserve">Procedures executed</t>
  </si>
  <si>
    <t xml:space="preserve">  Step 1</t>
  </si>
  <si>
    <t xml:space="preserve">Loaded bank statement balance from BankRec sheet, row 5</t>
  </si>
  <si>
    <t xml:space="preserve">  Step 2</t>
  </si>
  <si>
    <t xml:space="preserve">Loaded GL cash balance for LuminaUS account 100100 from TrialBalance</t>
  </si>
  <si>
    <t xml:space="preserve">  Step 3</t>
  </si>
  <si>
    <t xml:space="preserve">Tied bank-side adjustments (deposits in transit, outstanding checks)</t>
  </si>
  <si>
    <t xml:space="preserve">  Step 4</t>
  </si>
  <si>
    <t xml:space="preserve">Tied book-side adjustments (wire fees, interest credit)</t>
  </si>
  <si>
    <t xml:space="preserve">  Step 5</t>
  </si>
  <si>
    <t xml:space="preserve">Computed difference; tested against trivial threshold of $450K</t>
  </si>
  <si>
    <t xml:space="preserve">  Step 6</t>
  </si>
  <si>
    <t xml:space="preserve">Aged outstanding checks; flagged item &gt;60 days for investigation</t>
  </si>
  <si>
    <t xml:space="preserve">  Step 7</t>
  </si>
  <si>
    <t xml:space="preserve">Drafted proposed JEs for book-side reconciling items</t>
  </si>
  <si>
    <t xml:space="preserve">  Step 8</t>
  </si>
  <si>
    <t xml:space="preserve">Generated workpaper, exceptions list, and memo</t>
  </si>
  <si>
    <t xml:space="preserve">Skills loaded</t>
  </si>
  <si>
    <t xml:space="preserve">reconciliation v1.0, materiality-thresholds v1.0, finance-conventions v1.0, xlsx v2.1</t>
  </si>
  <si>
    <t xml:space="preserve">Output files</t>
  </si>
  <si>
    <t xml:space="preserve">2026-11_LuminaUS_BankRec_v1.xlsx, 2026-11_LuminaUS_Recon_v1_memo.md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</si>
</sst>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\$* #,##0_);_(\$* \(#,##0\);_(\$* \-_);_(@_)"/>
    <numFmt numFmtId="166" formatCode="yyyy\-mm\-dd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E699"/>
        <bgColor rgb="FFF8CBAD"/>
      </patternFill>
    </fill>
    <fill>
      <patternFill patternType="solid">
        <fgColor rgb="FFDDEBF7"/>
        <bgColor rgb="FFF2F2F2"/>
      </patternFill>
    </fill>
    <fill>
      <patternFill patternType="solid">
        <fgColor rgb="FFC6EFCE"/>
        <bgColor rgb="FFDDEBF7"/>
      </patternFill>
    </fill>
    <fill>
      <patternFill patternType="solid">
        <fgColor rgb="FF1F4E78"/>
        <bgColor rgb="FF003366"/>
      </patternFill>
    </fill>
    <fill>
      <patternFill patternType="solid">
        <fgColor rgb="FFF2F2F2"/>
        <bgColor rgb="FFDDEBF7"/>
      </patternFill>
    </fill>
    <fill>
      <patternFill patternType="solid">
        <fgColor rgb="FFF8CBAD"/>
        <bgColor rgb="FFFFE6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 diagonalUp="false" diagonalDown="false">
      <left/>
      <right/>
      <top style="thin">
        <color rgb="FFB4B4B4"/>
      </top>
      <bottom style="medium">
        <color rgb="FF1F4E7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2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4" t="s">
        <v>14</v>
      </c>
    </row>
    <row r="11" customFormat="false" ht="15" hidden="false" customHeight="false" outlineLevel="0" collapsed="false">
      <c r="A11" s="5" t="s">
        <v>15</v>
      </c>
      <c r="B11" s="5"/>
      <c r="C11" s="5"/>
      <c r="D11" s="5"/>
    </row>
    <row r="12" customFormat="false" ht="15" hidden="false" customHeight="false" outlineLevel="0" collapsed="false">
      <c r="A12" s="2" t="s">
        <v>16</v>
      </c>
      <c r="B12" s="6" t="n">
        <v>142500000</v>
      </c>
    </row>
    <row r="13" customFormat="false" ht="15" hidden="false" customHeight="false" outlineLevel="0" collapsed="false">
      <c r="A13" s="2" t="s">
        <v>17</v>
      </c>
      <c r="B13" s="6" t="n">
        <v>142505700</v>
      </c>
    </row>
    <row r="14" customFormat="false" ht="15" hidden="false" customHeight="false" outlineLevel="0" collapsed="false">
      <c r="A14" s="2" t="s">
        <v>18</v>
      </c>
      <c r="B14" s="7" t="n">
        <f aca="false">B13-B12</f>
        <v>5700</v>
      </c>
    </row>
    <row r="15" customFormat="false" ht="15" hidden="false" customHeight="false" outlineLevel="0" collapsed="false">
      <c r="A15" s="2" t="s">
        <v>19</v>
      </c>
      <c r="B15" s="6" t="n">
        <v>450000</v>
      </c>
    </row>
    <row r="16" customFormat="false" ht="15" hidden="false" customHeight="false" outlineLevel="0" collapsed="false">
      <c r="A16" s="2" t="s">
        <v>20</v>
      </c>
      <c r="B16" s="8" t="str">
        <f aca="false">IF(ABS(B14)&lt;=B15,"RECONCILED — proposed JEs pending human approval","UNRECONCILED — exceeds trivial threshold")</f>
        <v>RECONCILED — proposed JEs pending human approval</v>
      </c>
    </row>
    <row r="18" customFormat="false" ht="15" hidden="false" customHeight="false" outlineLevel="0" collapsed="false">
      <c r="A18" s="5" t="s">
        <v>21</v>
      </c>
      <c r="B18" s="5"/>
      <c r="C18" s="5"/>
      <c r="D18" s="5"/>
    </row>
    <row r="19" customFormat="false" ht="15" hidden="false" customHeight="false" outlineLevel="0" collapsed="false">
      <c r="A19" s="9" t="s">
        <v>22</v>
      </c>
      <c r="B19" s="9" t="s">
        <v>23</v>
      </c>
      <c r="C19" s="9" t="s">
        <v>24</v>
      </c>
      <c r="D19" s="9" t="s">
        <v>25</v>
      </c>
    </row>
    <row r="20" customFormat="false" ht="15" hidden="false" customHeight="false" outlineLevel="0" collapsed="false">
      <c r="A20" s="10" t="s">
        <v>26</v>
      </c>
      <c r="B20" s="11" t="n">
        <v>1</v>
      </c>
      <c r="C20" s="12" t="n">
        <v>45000</v>
      </c>
      <c r="D20" s="11" t="s">
        <v>27</v>
      </c>
    </row>
    <row r="21" customFormat="false" ht="15" hidden="false" customHeight="false" outlineLevel="0" collapsed="false">
      <c r="A21" s="10" t="s">
        <v>28</v>
      </c>
      <c r="B21" s="11" t="n">
        <v>2</v>
      </c>
      <c r="C21" s="12" t="n">
        <v>10700</v>
      </c>
      <c r="D21" s="11" t="s">
        <v>29</v>
      </c>
    </row>
    <row r="22" customFormat="false" ht="15" hidden="false" customHeight="false" outlineLevel="0" collapsed="false">
      <c r="A22" s="10" t="s">
        <v>30</v>
      </c>
      <c r="B22" s="11" t="n">
        <v>0</v>
      </c>
      <c r="C22" s="12" t="n">
        <v>0</v>
      </c>
      <c r="D22" s="11"/>
    </row>
    <row r="24" customFormat="false" ht="15" hidden="false" customHeight="false" outlineLevel="0" collapsed="false">
      <c r="A24" s="5" t="s">
        <v>31</v>
      </c>
      <c r="B24" s="5"/>
      <c r="C24" s="5"/>
      <c r="D24" s="5"/>
    </row>
    <row r="25" customFormat="false" ht="15" hidden="false" customHeight="false" outlineLevel="0" collapsed="false">
      <c r="A25" s="9" t="s">
        <v>32</v>
      </c>
      <c r="B25" s="9" t="s">
        <v>33</v>
      </c>
      <c r="C25" s="9" t="s">
        <v>34</v>
      </c>
      <c r="D25" s="9" t="s">
        <v>35</v>
      </c>
    </row>
    <row r="26" customFormat="false" ht="15" hidden="false" customHeight="false" outlineLevel="0" collapsed="false">
      <c r="A26" s="11" t="s">
        <v>36</v>
      </c>
      <c r="B26" s="11" t="s">
        <v>37</v>
      </c>
      <c r="C26" s="12" t="n">
        <v>8200</v>
      </c>
      <c r="D26" s="10" t="s">
        <v>26</v>
      </c>
    </row>
    <row r="27" customFormat="false" ht="15" hidden="false" customHeight="false" outlineLevel="0" collapsed="false">
      <c r="A27" s="11" t="s">
        <v>38</v>
      </c>
      <c r="B27" s="11" t="s">
        <v>39</v>
      </c>
      <c r="C27" s="12" t="n">
        <v>2500</v>
      </c>
      <c r="D27" s="10" t="s">
        <v>26</v>
      </c>
    </row>
    <row r="28" customFormat="false" ht="15" hidden="false" customHeight="false" outlineLevel="0" collapsed="false">
      <c r="A28" s="11" t="s">
        <v>40</v>
      </c>
      <c r="B28" s="11" t="s">
        <v>41</v>
      </c>
      <c r="C28" s="12" t="n">
        <v>45000</v>
      </c>
      <c r="D28" s="10" t="s">
        <v>28</v>
      </c>
    </row>
    <row r="30" customFormat="false" ht="15" hidden="false" customHeight="false" outlineLevel="0" collapsed="false">
      <c r="A30" s="5" t="s">
        <v>42</v>
      </c>
      <c r="B30" s="5"/>
      <c r="C30" s="5"/>
      <c r="D30" s="5"/>
    </row>
    <row r="31" customFormat="false" ht="15" hidden="false" customHeight="false" outlineLevel="0" collapsed="false">
      <c r="A31" s="13" t="s">
        <v>43</v>
      </c>
      <c r="B31" s="11" t="s">
        <v>10</v>
      </c>
      <c r="C31" s="13" t="s">
        <v>44</v>
      </c>
      <c r="D31" s="11" t="s">
        <v>12</v>
      </c>
    </row>
    <row r="32" customFormat="false" ht="15" hidden="false" customHeight="false" outlineLevel="0" collapsed="false">
      <c r="A32" s="13" t="s">
        <v>13</v>
      </c>
      <c r="B32" s="14" t="s">
        <v>45</v>
      </c>
      <c r="C32" s="13" t="s">
        <v>44</v>
      </c>
      <c r="D32" s="11" t="s">
        <v>45</v>
      </c>
    </row>
    <row r="33" customFormat="false" ht="15" hidden="false" customHeight="false" outlineLevel="0" collapsed="false">
      <c r="A33" s="13" t="s">
        <v>46</v>
      </c>
      <c r="B33" s="14" t="s">
        <v>47</v>
      </c>
      <c r="C33" s="13" t="s">
        <v>44</v>
      </c>
      <c r="D33" s="11" t="s">
        <v>45</v>
      </c>
    </row>
  </sheetData>
  <mergeCells count="5">
    <mergeCell ref="A1:D1"/>
    <mergeCell ref="A11:D11"/>
    <mergeCell ref="A18:D18"/>
    <mergeCell ref="A24:D24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0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48</v>
      </c>
      <c r="B1" s="1"/>
      <c r="C1" s="1"/>
    </row>
    <row r="2" customFormat="false" ht="15" hidden="false" customHeight="false" outlineLevel="0" collapsed="false">
      <c r="A2" s="15" t="s">
        <v>49</v>
      </c>
      <c r="B2" s="15"/>
      <c r="C2" s="15"/>
    </row>
    <row r="4" customFormat="false" ht="15" hidden="false" customHeight="false" outlineLevel="0" collapsed="false">
      <c r="A4" s="5" t="s">
        <v>50</v>
      </c>
      <c r="B4" s="5"/>
      <c r="C4" s="5"/>
    </row>
    <row r="5" customFormat="false" ht="15" hidden="false" customHeight="false" outlineLevel="0" collapsed="false">
      <c r="A5" s="3" t="s">
        <v>51</v>
      </c>
      <c r="B5" s="6" t="n">
        <v>144855700</v>
      </c>
      <c r="C5" s="16" t="s">
        <v>52</v>
      </c>
    </row>
    <row r="6" customFormat="false" ht="15" hidden="false" customHeight="false" outlineLevel="0" collapsed="false">
      <c r="A6" s="3" t="s">
        <v>53</v>
      </c>
      <c r="B6" s="6" t="n">
        <v>3200000</v>
      </c>
      <c r="C6" s="16" t="s">
        <v>54</v>
      </c>
    </row>
    <row r="7" customFormat="false" ht="15" hidden="false" customHeight="false" outlineLevel="0" collapsed="false">
      <c r="A7" s="3" t="s">
        <v>55</v>
      </c>
      <c r="B7" s="6" t="n">
        <f aca="false">-SUM('Outstanding Items'!E5:E8)</f>
        <v>-5550000</v>
      </c>
      <c r="C7" s="16" t="s">
        <v>56</v>
      </c>
    </row>
    <row r="8" customFormat="false" ht="15" hidden="false" customHeight="false" outlineLevel="0" collapsed="false">
      <c r="A8" s="2" t="s">
        <v>57</v>
      </c>
      <c r="B8" s="17" t="n">
        <f aca="false">B5+B6+B7</f>
        <v>142505700</v>
      </c>
      <c r="C8" s="16"/>
    </row>
    <row r="10" customFormat="false" ht="15" hidden="false" customHeight="false" outlineLevel="0" collapsed="false">
      <c r="A10" s="5" t="s">
        <v>58</v>
      </c>
      <c r="B10" s="5"/>
      <c r="C10" s="5"/>
    </row>
    <row r="11" customFormat="false" ht="15" hidden="false" customHeight="false" outlineLevel="0" collapsed="false">
      <c r="A11" s="3" t="s">
        <v>59</v>
      </c>
      <c r="B11" s="6" t="n">
        <v>142500000</v>
      </c>
      <c r="C11" s="16" t="s">
        <v>60</v>
      </c>
    </row>
    <row r="12" customFormat="false" ht="15" hidden="false" customHeight="false" outlineLevel="0" collapsed="false">
      <c r="A12" s="3" t="s">
        <v>61</v>
      </c>
      <c r="B12" s="6" t="n">
        <v>-2500</v>
      </c>
      <c r="C12" s="16" t="s">
        <v>62</v>
      </c>
    </row>
    <row r="13" customFormat="false" ht="15" hidden="false" customHeight="false" outlineLevel="0" collapsed="false">
      <c r="A13" s="3" t="s">
        <v>63</v>
      </c>
      <c r="B13" s="6" t="n">
        <v>8200</v>
      </c>
      <c r="C13" s="16" t="s">
        <v>64</v>
      </c>
    </row>
    <row r="14" customFormat="false" ht="15" hidden="false" customHeight="false" outlineLevel="0" collapsed="false">
      <c r="A14" s="2" t="s">
        <v>65</v>
      </c>
      <c r="B14" s="17" t="n">
        <f aca="false">B11+B12+B13</f>
        <v>142505700</v>
      </c>
      <c r="C14" s="16"/>
    </row>
    <row r="16" customFormat="false" ht="15" hidden="false" customHeight="false" outlineLevel="0" collapsed="false">
      <c r="A16" s="5" t="s">
        <v>15</v>
      </c>
      <c r="B16" s="5"/>
      <c r="C16" s="5"/>
    </row>
    <row r="17" customFormat="false" ht="15" hidden="false" customHeight="false" outlineLevel="0" collapsed="false">
      <c r="A17" s="3" t="s">
        <v>57</v>
      </c>
      <c r="B17" s="6" t="n">
        <f aca="false">B8</f>
        <v>142505700</v>
      </c>
    </row>
    <row r="18" customFormat="false" ht="15" hidden="false" customHeight="false" outlineLevel="0" collapsed="false">
      <c r="A18" s="3" t="s">
        <v>65</v>
      </c>
      <c r="B18" s="6" t="n">
        <f aca="false">B14</f>
        <v>142505700</v>
      </c>
    </row>
    <row r="19" customFormat="false" ht="15" hidden="false" customHeight="false" outlineLevel="0" collapsed="false">
      <c r="A19" s="2" t="s">
        <v>66</v>
      </c>
      <c r="B19" s="18" t="n">
        <f aca="false">B17-B18</f>
        <v>0</v>
      </c>
    </row>
    <row r="21" customFormat="false" ht="15" hidden="false" customHeight="false" outlineLevel="0" collapsed="false">
      <c r="A21" s="5" t="s">
        <v>67</v>
      </c>
      <c r="B21" s="5"/>
      <c r="C21" s="5"/>
    </row>
    <row r="22" customFormat="false" ht="45" hidden="false" customHeight="true" outlineLevel="0" collapsed="false">
      <c r="A22" s="19" t="s">
        <v>68</v>
      </c>
      <c r="B22" s="19"/>
      <c r="C22" s="19"/>
    </row>
  </sheetData>
  <mergeCells count="7">
    <mergeCell ref="A1:C1"/>
    <mergeCell ref="A2:C2"/>
    <mergeCell ref="A4:C4"/>
    <mergeCell ref="A10:C10"/>
    <mergeCell ref="A16:C16"/>
    <mergeCell ref="A21:C21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4" min="4" style="0" width="40"/>
    <col collapsed="false" customWidth="true" hidden="false" outlineLevel="0" max="5" min="5" style="0" width="16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69</v>
      </c>
      <c r="B1" s="1"/>
      <c r="C1" s="1"/>
      <c r="D1" s="1"/>
      <c r="E1" s="1"/>
      <c r="F1" s="1"/>
    </row>
    <row r="4" customFormat="false" ht="15" hidden="false" customHeight="false" outlineLevel="0" collapsed="false">
      <c r="A4" s="9" t="s">
        <v>70</v>
      </c>
      <c r="B4" s="9" t="s">
        <v>71</v>
      </c>
      <c r="C4" s="9" t="s">
        <v>72</v>
      </c>
      <c r="D4" s="9" t="s">
        <v>73</v>
      </c>
      <c r="E4" s="9" t="s">
        <v>34</v>
      </c>
      <c r="F4" s="9" t="s">
        <v>20</v>
      </c>
    </row>
    <row r="5" customFormat="false" ht="15" hidden="false" customHeight="false" outlineLevel="0" collapsed="false">
      <c r="A5" s="11" t="s">
        <v>74</v>
      </c>
      <c r="B5" s="20" t="n">
        <v>46350</v>
      </c>
      <c r="C5" s="10" t="n">
        <v>6</v>
      </c>
      <c r="D5" s="11" t="s">
        <v>75</v>
      </c>
      <c r="E5" s="12" t="n">
        <v>2800000</v>
      </c>
      <c r="F5" s="11" t="s">
        <v>76</v>
      </c>
    </row>
    <row r="6" customFormat="false" ht="15" hidden="false" customHeight="false" outlineLevel="0" collapsed="false">
      <c r="A6" s="11" t="s">
        <v>77</v>
      </c>
      <c r="B6" s="20" t="n">
        <v>46352</v>
      </c>
      <c r="C6" s="10" t="n">
        <v>4</v>
      </c>
      <c r="D6" s="11" t="s">
        <v>78</v>
      </c>
      <c r="E6" s="12" t="n">
        <v>1200000</v>
      </c>
      <c r="F6" s="11" t="s">
        <v>76</v>
      </c>
    </row>
    <row r="7" customFormat="false" ht="15" hidden="false" customHeight="false" outlineLevel="0" collapsed="false">
      <c r="A7" s="11" t="s">
        <v>79</v>
      </c>
      <c r="B7" s="20" t="n">
        <v>46354</v>
      </c>
      <c r="C7" s="10" t="n">
        <v>2</v>
      </c>
      <c r="D7" s="11" t="s">
        <v>80</v>
      </c>
      <c r="E7" s="12" t="n">
        <v>1505000</v>
      </c>
      <c r="F7" s="11" t="s">
        <v>76</v>
      </c>
    </row>
    <row r="8" customFormat="false" ht="15" hidden="false" customHeight="false" outlineLevel="0" collapsed="false">
      <c r="A8" s="14" t="s">
        <v>81</v>
      </c>
      <c r="B8" s="21" t="n">
        <v>46289</v>
      </c>
      <c r="C8" s="22" t="n">
        <v>67</v>
      </c>
      <c r="D8" s="14" t="s">
        <v>82</v>
      </c>
      <c r="E8" s="23" t="n">
        <v>45000</v>
      </c>
      <c r="F8" s="14" t="s">
        <v>83</v>
      </c>
    </row>
    <row r="9" customFormat="false" ht="15" hidden="false" customHeight="false" outlineLevel="0" collapsed="false">
      <c r="A9" s="24" t="s">
        <v>84</v>
      </c>
      <c r="E9" s="25" t="n">
        <f aca="false">SUM(E5:E8)</f>
        <v>5550000</v>
      </c>
    </row>
    <row r="12" customFormat="false" ht="15" hidden="false" customHeight="false" outlineLevel="0" collapsed="false">
      <c r="A12" s="5" t="s">
        <v>85</v>
      </c>
      <c r="B12" s="5"/>
      <c r="C12" s="5"/>
      <c r="D12" s="5"/>
      <c r="E12" s="5"/>
      <c r="F12" s="5"/>
    </row>
    <row r="13" customFormat="false" ht="15" hidden="false" customHeight="false" outlineLevel="0" collapsed="false">
      <c r="A13" s="9" t="s">
        <v>86</v>
      </c>
      <c r="B13" s="9" t="s">
        <v>23</v>
      </c>
      <c r="C13" s="9" t="s">
        <v>34</v>
      </c>
    </row>
    <row r="14" customFormat="false" ht="15" hidden="false" customHeight="false" outlineLevel="0" collapsed="false">
      <c r="A14" s="11" t="s">
        <v>87</v>
      </c>
      <c r="B14" s="10" t="n">
        <v>3</v>
      </c>
      <c r="C14" s="12" t="n">
        <v>5505000</v>
      </c>
    </row>
    <row r="15" customFormat="false" ht="15" hidden="false" customHeight="false" outlineLevel="0" collapsed="false">
      <c r="A15" s="11" t="s">
        <v>88</v>
      </c>
      <c r="B15" s="10" t="n">
        <v>0</v>
      </c>
      <c r="C15" s="12" t="n">
        <v>0</v>
      </c>
    </row>
    <row r="16" customFormat="false" ht="15" hidden="false" customHeight="false" outlineLevel="0" collapsed="false">
      <c r="A16" s="11" t="s">
        <v>89</v>
      </c>
      <c r="B16" s="10" t="n">
        <v>1</v>
      </c>
      <c r="C16" s="12" t="n">
        <v>45000</v>
      </c>
    </row>
    <row r="17" customFormat="false" ht="15" hidden="false" customHeight="false" outlineLevel="0" collapsed="false">
      <c r="A17" s="11" t="s">
        <v>90</v>
      </c>
      <c r="B17" s="10" t="n">
        <v>0</v>
      </c>
      <c r="C17" s="12" t="n">
        <v>0</v>
      </c>
    </row>
  </sheetData>
  <mergeCells count="2">
    <mergeCell ref="A1:F1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26"/>
    <col collapsed="false" customWidth="true" hidden="false" outlineLevel="0" max="4" min="4" style="0" width="52"/>
    <col collapsed="false" customWidth="true" hidden="false" outlineLevel="0" max="5" min="5" style="0" width="14"/>
    <col collapsed="false" customWidth="true" hidden="false" outlineLevel="0" max="6" min="6" style="0" width="52"/>
  </cols>
  <sheetData>
    <row r="1" customFormat="false" ht="17.35" hidden="false" customHeight="false" outlineLevel="0" collapsed="false">
      <c r="A1" s="1" t="s">
        <v>91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9" t="s">
        <v>92</v>
      </c>
      <c r="B3" s="9" t="s">
        <v>22</v>
      </c>
      <c r="C3" s="9" t="s">
        <v>93</v>
      </c>
      <c r="D3" s="9" t="s">
        <v>33</v>
      </c>
      <c r="E3" s="9" t="s">
        <v>34</v>
      </c>
      <c r="F3" s="9" t="s">
        <v>94</v>
      </c>
    </row>
    <row r="4" customFormat="false" ht="60" hidden="false" customHeight="true" outlineLevel="0" collapsed="false">
      <c r="A4" s="11" t="s">
        <v>95</v>
      </c>
      <c r="B4" s="26" t="s">
        <v>26</v>
      </c>
      <c r="C4" s="11" t="s">
        <v>96</v>
      </c>
      <c r="D4" s="27" t="s">
        <v>97</v>
      </c>
      <c r="E4" s="12" t="n">
        <v>45000</v>
      </c>
      <c r="F4" s="27" t="s">
        <v>98</v>
      </c>
    </row>
    <row r="5" customFormat="false" ht="60" hidden="false" customHeight="true" outlineLevel="0" collapsed="false">
      <c r="A5" s="11" t="s">
        <v>99</v>
      </c>
      <c r="B5" s="22" t="s">
        <v>28</v>
      </c>
      <c r="C5" s="11" t="s">
        <v>100</v>
      </c>
      <c r="D5" s="27" t="s">
        <v>101</v>
      </c>
      <c r="E5" s="12" t="n">
        <v>2500</v>
      </c>
      <c r="F5" s="27" t="s">
        <v>102</v>
      </c>
    </row>
    <row r="6" customFormat="false" ht="60" hidden="false" customHeight="true" outlineLevel="0" collapsed="false">
      <c r="A6" s="11" t="s">
        <v>103</v>
      </c>
      <c r="B6" s="22" t="s">
        <v>28</v>
      </c>
      <c r="C6" s="11" t="s">
        <v>100</v>
      </c>
      <c r="D6" s="27" t="s">
        <v>104</v>
      </c>
      <c r="E6" s="12" t="n">
        <v>8200</v>
      </c>
      <c r="F6" s="27" t="s">
        <v>105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0"/>
    <col collapsed="false" customWidth="true" hidden="false" outlineLevel="0" max="4" min="3" style="0" width="2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55"/>
  </cols>
  <sheetData>
    <row r="1" customFormat="false" ht="17.35" hidden="false" customHeight="false" outlineLevel="0" collapsed="false">
      <c r="A1" s="1" t="s">
        <v>106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8" t="s">
        <v>107</v>
      </c>
      <c r="B2" s="28"/>
      <c r="C2" s="28"/>
      <c r="D2" s="28"/>
      <c r="E2" s="28"/>
      <c r="F2" s="28"/>
      <c r="G2" s="28"/>
    </row>
    <row r="4" customFormat="false" ht="15" hidden="false" customHeight="false" outlineLevel="0" collapsed="false">
      <c r="A4" s="9" t="s">
        <v>32</v>
      </c>
      <c r="B4" s="9" t="s">
        <v>33</v>
      </c>
      <c r="C4" s="9" t="s">
        <v>108</v>
      </c>
      <c r="D4" s="9" t="s">
        <v>109</v>
      </c>
      <c r="E4" s="9" t="s">
        <v>34</v>
      </c>
      <c r="F4" s="9" t="s">
        <v>35</v>
      </c>
      <c r="G4" s="9" t="s">
        <v>110</v>
      </c>
    </row>
    <row r="5" customFormat="false" ht="49.5" hidden="false" customHeight="true" outlineLevel="0" collapsed="false">
      <c r="A5" s="11" t="s">
        <v>36</v>
      </c>
      <c r="B5" s="27" t="s">
        <v>111</v>
      </c>
      <c r="C5" s="11" t="s">
        <v>2</v>
      </c>
      <c r="D5" s="11" t="s">
        <v>112</v>
      </c>
      <c r="E5" s="12" t="n">
        <v>8200</v>
      </c>
      <c r="F5" s="10" t="s">
        <v>26</v>
      </c>
      <c r="G5" s="27" t="s">
        <v>113</v>
      </c>
    </row>
    <row r="6" customFormat="false" ht="49.5" hidden="false" customHeight="true" outlineLevel="0" collapsed="false">
      <c r="A6" s="11" t="s">
        <v>38</v>
      </c>
      <c r="B6" s="27" t="s">
        <v>114</v>
      </c>
      <c r="C6" s="11" t="s">
        <v>115</v>
      </c>
      <c r="D6" s="11" t="s">
        <v>2</v>
      </c>
      <c r="E6" s="12" t="n">
        <v>2500</v>
      </c>
      <c r="F6" s="10" t="s">
        <v>26</v>
      </c>
      <c r="G6" s="27" t="s">
        <v>116</v>
      </c>
    </row>
    <row r="7" customFormat="false" ht="49.5" hidden="false" customHeight="true" outlineLevel="0" collapsed="false">
      <c r="A7" s="11" t="s">
        <v>40</v>
      </c>
      <c r="B7" s="27" t="s">
        <v>117</v>
      </c>
      <c r="C7" s="11" t="s">
        <v>2</v>
      </c>
      <c r="D7" s="11" t="s">
        <v>118</v>
      </c>
      <c r="E7" s="12" t="n">
        <v>45000</v>
      </c>
      <c r="F7" s="10" t="s">
        <v>28</v>
      </c>
      <c r="G7" s="27" t="s">
        <v>119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120</v>
      </c>
      <c r="B1" s="1"/>
    </row>
    <row r="3" customFormat="false" ht="15" hidden="false" customHeight="false" outlineLevel="0" collapsed="false">
      <c r="A3" s="2" t="s">
        <v>121</v>
      </c>
      <c r="B3" s="16" t="s">
        <v>122</v>
      </c>
    </row>
    <row r="4" customFormat="false" ht="15" hidden="false" customHeight="false" outlineLevel="0" collapsed="false">
      <c r="A4" s="2" t="s">
        <v>123</v>
      </c>
      <c r="B4" s="16" t="s">
        <v>124</v>
      </c>
    </row>
    <row r="5" customFormat="false" ht="15" hidden="false" customHeight="false" outlineLevel="0" collapsed="false">
      <c r="A5" s="2" t="s">
        <v>125</v>
      </c>
      <c r="B5" s="16" t="s">
        <v>12</v>
      </c>
    </row>
    <row r="6" customFormat="false" ht="15" hidden="false" customHeight="false" outlineLevel="0" collapsed="false">
      <c r="A6" s="2" t="s">
        <v>7</v>
      </c>
      <c r="B6" s="16" t="s">
        <v>126</v>
      </c>
    </row>
    <row r="7" customFormat="false" ht="15" hidden="false" customHeight="false" outlineLevel="0" collapsed="false">
      <c r="A7" s="2" t="s">
        <v>3</v>
      </c>
      <c r="B7" s="16" t="s">
        <v>4</v>
      </c>
    </row>
    <row r="8" customFormat="false" ht="15" hidden="false" customHeight="false" outlineLevel="0" collapsed="false">
      <c r="A8" s="2" t="s">
        <v>1</v>
      </c>
      <c r="B8" s="16" t="s">
        <v>2</v>
      </c>
    </row>
    <row r="9" customFormat="false" ht="15" hidden="false" customHeight="false" outlineLevel="0" collapsed="false">
      <c r="A9" s="2" t="s">
        <v>127</v>
      </c>
      <c r="B9" s="16" t="s">
        <v>128</v>
      </c>
    </row>
    <row r="10" customFormat="false" ht="15" hidden="false" customHeight="false" outlineLevel="0" collapsed="false">
      <c r="A10" s="2" t="s">
        <v>13</v>
      </c>
      <c r="B10" s="16" t="s">
        <v>14</v>
      </c>
    </row>
    <row r="11" customFormat="false" ht="15" hidden="false" customHeight="false" outlineLevel="0" collapsed="false">
      <c r="A11" s="2" t="s">
        <v>129</v>
      </c>
      <c r="B11" s="16" t="s">
        <v>45</v>
      </c>
    </row>
    <row r="12" customFormat="false" ht="15" hidden="false" customHeight="false" outlineLevel="0" collapsed="false">
      <c r="A12" s="2" t="s">
        <v>130</v>
      </c>
      <c r="B12" s="16" t="s">
        <v>45</v>
      </c>
    </row>
    <row r="13" customFormat="false" ht="15" hidden="false" customHeight="false" outlineLevel="0" collapsed="false">
      <c r="A13" s="3"/>
      <c r="B13" s="16"/>
    </row>
    <row r="14" customFormat="false" ht="15" hidden="false" customHeight="false" outlineLevel="0" collapsed="false">
      <c r="A14" s="2" t="s">
        <v>131</v>
      </c>
      <c r="B14" s="16"/>
    </row>
    <row r="15" customFormat="false" ht="15" hidden="false" customHeight="false" outlineLevel="0" collapsed="false">
      <c r="A15" s="3" t="s">
        <v>132</v>
      </c>
      <c r="B15" s="16" t="s">
        <v>133</v>
      </c>
    </row>
    <row r="16" customFormat="false" ht="15" hidden="false" customHeight="false" outlineLevel="0" collapsed="false">
      <c r="A16" s="3" t="s">
        <v>134</v>
      </c>
      <c r="B16" s="16" t="s">
        <v>135</v>
      </c>
    </row>
    <row r="17" customFormat="false" ht="15" hidden="false" customHeight="false" outlineLevel="0" collapsed="false">
      <c r="A17" s="3"/>
      <c r="B17" s="16"/>
    </row>
    <row r="18" customFormat="false" ht="15" hidden="false" customHeight="false" outlineLevel="0" collapsed="false">
      <c r="A18" s="2" t="s">
        <v>136</v>
      </c>
      <c r="B18" s="16"/>
    </row>
    <row r="19" customFormat="false" ht="15" hidden="false" customHeight="false" outlineLevel="0" collapsed="false">
      <c r="A19" s="3" t="s">
        <v>137</v>
      </c>
      <c r="B19" s="16" t="s">
        <v>138</v>
      </c>
    </row>
    <row r="20" customFormat="false" ht="15" hidden="false" customHeight="false" outlineLevel="0" collapsed="false">
      <c r="A20" s="3" t="s">
        <v>139</v>
      </c>
      <c r="B20" s="16" t="s">
        <v>140</v>
      </c>
    </row>
    <row r="21" customFormat="false" ht="15" hidden="false" customHeight="false" outlineLevel="0" collapsed="false">
      <c r="A21" s="3" t="s">
        <v>141</v>
      </c>
      <c r="B21" s="16" t="s">
        <v>142</v>
      </c>
    </row>
    <row r="22" customFormat="false" ht="15" hidden="false" customHeight="false" outlineLevel="0" collapsed="false">
      <c r="A22" s="3" t="s">
        <v>143</v>
      </c>
      <c r="B22" s="16" t="s">
        <v>144</v>
      </c>
    </row>
    <row r="23" customFormat="false" ht="15" hidden="false" customHeight="false" outlineLevel="0" collapsed="false">
      <c r="A23" s="3" t="s">
        <v>145</v>
      </c>
      <c r="B23" s="16" t="s">
        <v>146</v>
      </c>
    </row>
    <row r="24" customFormat="false" ht="15" hidden="false" customHeight="false" outlineLevel="0" collapsed="false">
      <c r="A24" s="3" t="s">
        <v>147</v>
      </c>
      <c r="B24" s="16" t="s">
        <v>148</v>
      </c>
    </row>
    <row r="25" customFormat="false" ht="15" hidden="false" customHeight="false" outlineLevel="0" collapsed="false">
      <c r="A25" s="3" t="s">
        <v>149</v>
      </c>
      <c r="B25" s="16" t="s">
        <v>150</v>
      </c>
    </row>
    <row r="26" customFormat="false" ht="15" hidden="false" customHeight="false" outlineLevel="0" collapsed="false">
      <c r="A26" s="3" t="s">
        <v>151</v>
      </c>
      <c r="B26" s="16" t="s">
        <v>152</v>
      </c>
    </row>
    <row r="27" customFormat="false" ht="15" hidden="false" customHeight="false" outlineLevel="0" collapsed="false">
      <c r="A27" s="3"/>
      <c r="B27" s="16"/>
    </row>
    <row r="28" customFormat="false" ht="15" hidden="false" customHeight="false" outlineLevel="0" collapsed="false">
      <c r="A28" s="2" t="s">
        <v>153</v>
      </c>
      <c r="B28" s="16" t="s">
        <v>154</v>
      </c>
    </row>
    <row r="29" customFormat="false" ht="15" hidden="false" customHeight="false" outlineLevel="0" collapsed="false">
      <c r="A29" s="2" t="s">
        <v>155</v>
      </c>
      <c r="B29" s="16" t="s">
        <v>156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2026-05-22T04:40:28Z</dcterms:created>
  <dc:creator>openpyxl</dc:creator>
  <dc:description/>
  <dc:language>en-US</dc:language>
  <cp:lastModifiedBy/>
  <dcterms:modified xsi:type="dcterms:W3CDTF">2026-05-22T04:40:28Z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